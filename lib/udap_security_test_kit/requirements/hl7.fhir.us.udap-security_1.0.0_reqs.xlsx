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knaden/Documents/Inferno/source/udap-security-test-kit/lib/udap_security_test_kit/requirements/"/>
    </mc:Choice>
  </mc:AlternateContent>
  <xr:revisionPtr revIDLastSave="0" documentId="13_ncr:1_{C63112E7-8E83-714E-ABF6-ADE24A6901B0}" xr6:coauthVersionLast="47" xr6:coauthVersionMax="47" xr10:uidLastSave="{00000000-0000-0000-0000-000000000000}"/>
  <bookViews>
    <workbookView xWindow="20" yWindow="800" windowWidth="34560" windowHeight="20100" tabRatio="598"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_xlnm._FilterDatabase" localSheetId="1" hidden="1">Requirements!$A$1:$V$462</definedName>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34" i="5" l="1"/>
  <c r="P234" i="5"/>
  <c r="P233" i="5"/>
  <c r="O233" i="5"/>
  <c r="N235" i="5" a="1"/>
  <c r="N235" i="5" s="1"/>
  <c r="M235" i="5" a="1"/>
  <c r="M235" i="5" s="1"/>
  <c r="O235" i="5"/>
  <c r="P235" i="5"/>
  <c r="O184" i="5"/>
  <c r="P184" i="5"/>
  <c r="O183" i="5"/>
  <c r="P183" i="5"/>
  <c r="O182" i="5"/>
  <c r="P182" i="5"/>
  <c r="O177" i="5"/>
  <c r="P177" i="5"/>
  <c r="O175" i="5"/>
  <c r="P175" i="5"/>
  <c r="P174" i="5"/>
  <c r="O174" i="5"/>
  <c r="O238" i="5"/>
  <c r="P238" i="5"/>
  <c r="P237" i="5"/>
  <c r="O237" i="5"/>
  <c r="N239" i="5" a="1"/>
  <c r="N239" i="5" s="1"/>
  <c r="M239" i="5" a="1"/>
  <c r="M239" i="5" s="1"/>
  <c r="O239" i="5"/>
  <c r="P239" i="5"/>
  <c r="N242" i="5" a="1"/>
  <c r="N242" i="5" s="1"/>
  <c r="M242" i="5" a="1"/>
  <c r="M242" i="5" s="1"/>
  <c r="O242" i="5"/>
  <c r="P242" i="5"/>
  <c r="P243" i="5"/>
  <c r="O243" i="5"/>
  <c r="N275" i="5" a="1"/>
  <c r="N275" i="5" s="1"/>
  <c r="M275" i="5" a="1"/>
  <c r="M275" i="5" s="1"/>
  <c r="O275" i="5"/>
  <c r="P275" i="5"/>
  <c r="N268" i="5" a="1"/>
  <c r="N268" i="5" s="1"/>
  <c r="M268" i="5" a="1"/>
  <c r="M268" i="5" s="1"/>
  <c r="O268" i="5"/>
  <c r="P268" i="5"/>
  <c r="N274" i="5" a="1"/>
  <c r="N274" i="5" s="1"/>
  <c r="M274" i="5" a="1"/>
  <c r="M274" i="5" s="1"/>
  <c r="O274" i="5"/>
  <c r="P274" i="5"/>
  <c r="N273" i="5" a="1"/>
  <c r="N273" i="5" s="1"/>
  <c r="M273" i="5" a="1"/>
  <c r="M273" i="5" s="1"/>
  <c r="O273" i="5"/>
  <c r="P273" i="5"/>
  <c r="N272" i="5" a="1"/>
  <c r="N272" i="5" s="1"/>
  <c r="M272" i="5" a="1"/>
  <c r="M272" i="5" s="1"/>
  <c r="O272" i="5"/>
  <c r="P272" i="5"/>
  <c r="N271" i="5" a="1"/>
  <c r="N271" i="5" s="1"/>
  <c r="M271" i="5" a="1"/>
  <c r="M271" i="5" s="1"/>
  <c r="O271" i="5"/>
  <c r="P271" i="5"/>
  <c r="N282" i="5" a="1"/>
  <c r="N282" i="5" s="1"/>
  <c r="M282" i="5" a="1"/>
  <c r="M282" i="5" s="1"/>
  <c r="O282" i="5"/>
  <c r="P282" i="5"/>
  <c r="O256" i="5"/>
  <c r="P256" i="5"/>
  <c r="O255" i="5"/>
  <c r="P255" i="5"/>
  <c r="O254" i="5"/>
  <c r="P254" i="5"/>
  <c r="P253" i="5"/>
  <c r="O253" i="5"/>
  <c r="O252" i="5"/>
  <c r="P252" i="5"/>
  <c r="O251" i="5"/>
  <c r="P251" i="5"/>
  <c r="O250" i="5"/>
  <c r="P250" i="5"/>
  <c r="O249" i="5"/>
  <c r="P249" i="5"/>
  <c r="O248" i="5"/>
  <c r="P248" i="5"/>
  <c r="O247" i="5"/>
  <c r="P247" i="5"/>
  <c r="N279" i="5" a="1"/>
  <c r="N279" i="5" s="1"/>
  <c r="M279" i="5" a="1"/>
  <c r="M279" i="5" s="1"/>
  <c r="O279" i="5"/>
  <c r="P279" i="5"/>
  <c r="N278" i="5" a="1"/>
  <c r="N278" i="5" s="1"/>
  <c r="M278" i="5" a="1"/>
  <c r="M278" i="5" s="1"/>
  <c r="O278" i="5"/>
  <c r="P278" i="5"/>
  <c r="N277" i="5" a="1"/>
  <c r="N277" i="5" s="1"/>
  <c r="M277" i="5" a="1"/>
  <c r="M277" i="5" s="1"/>
  <c r="O277" i="5"/>
  <c r="P277" i="5"/>
  <c r="N276" i="5" a="1"/>
  <c r="N276" i="5" s="1"/>
  <c r="M276" i="5" a="1"/>
  <c r="M276" i="5" s="1"/>
  <c r="O276" i="5"/>
  <c r="P276" i="5"/>
  <c r="N270" i="5" a="1"/>
  <c r="N270" i="5" s="1"/>
  <c r="M270" i="5" a="1"/>
  <c r="M270" i="5" s="1"/>
  <c r="O270" i="5"/>
  <c r="P270" i="5"/>
  <c r="N269" i="5" a="1"/>
  <c r="N269" i="5" s="1"/>
  <c r="M269" i="5" a="1"/>
  <c r="M269" i="5" s="1"/>
  <c r="O269" i="5"/>
  <c r="P269" i="5"/>
  <c r="N267" i="5" a="1"/>
  <c r="N267" i="5" s="1"/>
  <c r="M267" i="5" a="1"/>
  <c r="M267" i="5" s="1"/>
  <c r="O267" i="5"/>
  <c r="P267" i="5"/>
  <c r="N266" i="5" a="1"/>
  <c r="N266" i="5" s="1"/>
  <c r="M266" i="5" a="1"/>
  <c r="M266" i="5" s="1"/>
  <c r="O266" i="5"/>
  <c r="P266" i="5"/>
  <c r="N265" i="5" a="1"/>
  <c r="N265" i="5" s="1"/>
  <c r="M265" i="5" a="1"/>
  <c r="M265" i="5" s="1"/>
  <c r="O265" i="5"/>
  <c r="P265" i="5"/>
  <c r="N264" i="5" a="1"/>
  <c r="N264" i="5" s="1"/>
  <c r="M264" i="5" a="1"/>
  <c r="M264" i="5" s="1"/>
  <c r="O264" i="5"/>
  <c r="P264" i="5"/>
  <c r="N263" i="5" a="1"/>
  <c r="N263" i="5" s="1"/>
  <c r="M263" i="5" a="1"/>
  <c r="M263" i="5" s="1"/>
  <c r="O263" i="5"/>
  <c r="P263" i="5"/>
  <c r="N262" i="5" a="1"/>
  <c r="N262" i="5" s="1"/>
  <c r="M262" i="5" a="1"/>
  <c r="M262" i="5" s="1"/>
  <c r="O262" i="5"/>
  <c r="P262" i="5"/>
  <c r="N261" i="5" a="1"/>
  <c r="N261" i="5" s="1"/>
  <c r="M261" i="5" a="1"/>
  <c r="M261" i="5" s="1"/>
  <c r="O261" i="5"/>
  <c r="P261" i="5"/>
  <c r="N260" i="5" a="1"/>
  <c r="N260" i="5" s="1"/>
  <c r="M260" i="5" a="1"/>
  <c r="M260" i="5" s="1"/>
  <c r="O260" i="5"/>
  <c r="P260" i="5"/>
  <c r="N259" i="5" a="1"/>
  <c r="N259" i="5" s="1"/>
  <c r="M259" i="5" a="1"/>
  <c r="M259" i="5" s="1"/>
  <c r="O259" i="5"/>
  <c r="P259" i="5"/>
  <c r="N281" i="5" a="1"/>
  <c r="N281" i="5" s="1"/>
  <c r="M281" i="5" a="1"/>
  <c r="M281" i="5" s="1"/>
  <c r="O281" i="5"/>
  <c r="P281" i="5"/>
  <c r="O289" i="5"/>
  <c r="P289" i="5"/>
  <c r="O288" i="5"/>
  <c r="P288" i="5"/>
  <c r="O287" i="5"/>
  <c r="P287" i="5"/>
  <c r="O286" i="5"/>
  <c r="P286" i="5"/>
  <c r="O285" i="5"/>
  <c r="P285" i="5"/>
  <c r="O291" i="5"/>
  <c r="P291" i="5"/>
  <c r="O290" i="5"/>
  <c r="P290" i="5"/>
  <c r="P284" i="5"/>
  <c r="O284" i="5"/>
  <c r="N295" i="5" a="1"/>
  <c r="N295" i="5" s="1"/>
  <c r="M295" i="5" a="1"/>
  <c r="M295" i="5" s="1"/>
  <c r="O295" i="5"/>
  <c r="P295" i="5"/>
  <c r="N294" i="5" a="1"/>
  <c r="N294" i="5" s="1"/>
  <c r="M294" i="5" a="1"/>
  <c r="M294" i="5" s="1"/>
  <c r="O294" i="5"/>
  <c r="P294" i="5"/>
  <c r="N221" i="5" a="1"/>
  <c r="N221" i="5" s="1"/>
  <c r="M221" i="5" a="1"/>
  <c r="M221" i="5" s="1"/>
  <c r="O221" i="5"/>
  <c r="P221" i="5"/>
  <c r="N217" i="5" a="1"/>
  <c r="N217" i="5" s="1"/>
  <c r="M217" i="5" a="1"/>
  <c r="M217" i="5" s="1"/>
  <c r="O217" i="5"/>
  <c r="P217" i="5"/>
  <c r="N215" i="5" a="1"/>
  <c r="N215" i="5" s="1"/>
  <c r="M215" i="5" a="1"/>
  <c r="M215" i="5" s="1"/>
  <c r="O215" i="5"/>
  <c r="P215" i="5"/>
  <c r="N214" i="5" a="1"/>
  <c r="N214" i="5" s="1"/>
  <c r="M214" i="5" a="1"/>
  <c r="M214" i="5" s="1"/>
  <c r="O214" i="5"/>
  <c r="P214" i="5"/>
  <c r="N212" i="5" a="1"/>
  <c r="N212" i="5" s="1"/>
  <c r="M212" i="5" a="1"/>
  <c r="M212" i="5" s="1"/>
  <c r="O212" i="5"/>
  <c r="P212" i="5"/>
  <c r="N210" i="5" a="1"/>
  <c r="N210" i="5" s="1"/>
  <c r="M210" i="5" a="1"/>
  <c r="M210" i="5" s="1"/>
  <c r="O210" i="5"/>
  <c r="P210" i="5"/>
  <c r="N208" i="5" a="1"/>
  <c r="N208" i="5" s="1"/>
  <c r="M208" i="5" a="1"/>
  <c r="M208" i="5" s="1"/>
  <c r="O208" i="5"/>
  <c r="P208" i="5"/>
  <c r="N206" i="5" a="1"/>
  <c r="N206" i="5" s="1"/>
  <c r="M206" i="5" a="1"/>
  <c r="M206" i="5" s="1"/>
  <c r="O206" i="5"/>
  <c r="P206" i="5"/>
  <c r="O181" i="5"/>
  <c r="P181" i="5"/>
  <c r="O180" i="5"/>
  <c r="P180" i="5"/>
  <c r="O179" i="5"/>
  <c r="P179" i="5"/>
  <c r="O178" i="5"/>
  <c r="P178" i="5"/>
  <c r="P176" i="5"/>
  <c r="O176" i="5"/>
  <c r="N169" i="5" a="1"/>
  <c r="N169" i="5" s="1"/>
  <c r="M169" i="5" a="1"/>
  <c r="M169" i="5" s="1"/>
  <c r="O169" i="5"/>
  <c r="P169" i="5"/>
  <c r="N160" i="5" a="1"/>
  <c r="N160" i="5" s="1"/>
  <c r="M160" i="5" a="1"/>
  <c r="M160" i="5" s="1"/>
  <c r="O160" i="5"/>
  <c r="P160" i="5"/>
  <c r="N153" i="5" a="1"/>
  <c r="N153" i="5" s="1"/>
  <c r="M153" i="5" a="1"/>
  <c r="M153" i="5" s="1"/>
  <c r="O153" i="5"/>
  <c r="P153" i="5"/>
  <c r="O151" i="5"/>
  <c r="P151" i="5"/>
  <c r="O150" i="5"/>
  <c r="P150" i="5"/>
  <c r="O149" i="5"/>
  <c r="P149" i="5"/>
  <c r="O148" i="5"/>
  <c r="P148" i="5"/>
  <c r="O147" i="5"/>
  <c r="P147" i="5"/>
  <c r="O146" i="5"/>
  <c r="P146" i="5"/>
  <c r="O145" i="5"/>
  <c r="P145" i="5"/>
  <c r="O144" i="5"/>
  <c r="P144" i="5"/>
  <c r="O143" i="5"/>
  <c r="P143" i="5"/>
  <c r="P142" i="5"/>
  <c r="O142" i="5"/>
  <c r="P140" i="5"/>
  <c r="O140" i="5"/>
  <c r="N140" i="5" a="1"/>
  <c r="N140" i="5" s="1"/>
  <c r="M140" i="5" a="1"/>
  <c r="M140" i="5" s="1"/>
  <c r="P139" i="5"/>
  <c r="O139" i="5"/>
  <c r="N139" i="5" a="1"/>
  <c r="N139" i="5" s="1"/>
  <c r="M139" i="5" a="1"/>
  <c r="M139" i="5" s="1"/>
  <c r="P138" i="5"/>
  <c r="O138" i="5"/>
  <c r="N138" i="5" a="1"/>
  <c r="N138" i="5" s="1"/>
  <c r="M138" i="5" a="1"/>
  <c r="M138" i="5" s="1"/>
  <c r="M137" i="5" a="1"/>
  <c r="M137" i="5" s="1"/>
  <c r="N137" i="5" a="1"/>
  <c r="N137" i="5" s="1"/>
  <c r="O137" i="5"/>
  <c r="P137" i="5"/>
  <c r="M136" i="5" a="1"/>
  <c r="M136" i="5" s="1"/>
  <c r="N136" i="5" a="1"/>
  <c r="N136" i="5" s="1"/>
  <c r="O136" i="5"/>
  <c r="P136" i="5"/>
  <c r="M135" i="5" a="1"/>
  <c r="M135" i="5" s="1"/>
  <c r="N135" i="5" a="1"/>
  <c r="N135" i="5" s="1"/>
  <c r="O135" i="5"/>
  <c r="P135" i="5"/>
  <c r="M133" i="5" a="1"/>
  <c r="M133" i="5" s="1"/>
  <c r="N133" i="5" a="1"/>
  <c r="N133" i="5" s="1"/>
  <c r="O133" i="5"/>
  <c r="P133" i="5"/>
  <c r="O130" i="5"/>
  <c r="P130" i="5"/>
  <c r="O129" i="5"/>
  <c r="P129" i="5"/>
  <c r="M113" i="5" a="1"/>
  <c r="M113" i="5" s="1"/>
  <c r="N113" i="5" a="1"/>
  <c r="N113" i="5" s="1"/>
  <c r="O113" i="5"/>
  <c r="P113" i="5"/>
  <c r="M112" i="5" a="1"/>
  <c r="M112" i="5" s="1"/>
  <c r="N112" i="5" a="1"/>
  <c r="N112" i="5" s="1"/>
  <c r="O112" i="5"/>
  <c r="P112" i="5"/>
  <c r="O110" i="5"/>
  <c r="P110" i="5"/>
  <c r="O109" i="5"/>
  <c r="P109" i="5"/>
  <c r="O108" i="5"/>
  <c r="P108" i="5"/>
  <c r="O107" i="5"/>
  <c r="P107" i="5"/>
  <c r="N188" i="5" a="1"/>
  <c r="N188" i="5" s="1"/>
  <c r="M188" i="5" a="1"/>
  <c r="M188" i="5" s="1"/>
  <c r="O188" i="5"/>
  <c r="P188" i="5"/>
  <c r="N114" i="5" a="1"/>
  <c r="N114" i="5" s="1"/>
  <c r="M114" i="5" a="1"/>
  <c r="M114" i="5" s="1"/>
  <c r="O114" i="5"/>
  <c r="P114" i="5"/>
  <c r="N105" i="5" a="1"/>
  <c r="N105" i="5" s="1"/>
  <c r="M105" i="5" a="1"/>
  <c r="M105" i="5" s="1"/>
  <c r="O105" i="5"/>
  <c r="P105" i="5"/>
  <c r="N101" i="5" a="1"/>
  <c r="N101" i="5" s="1"/>
  <c r="M101" i="5" a="1"/>
  <c r="M101" i="5" s="1"/>
  <c r="O101" i="5"/>
  <c r="P101" i="5"/>
  <c r="N100" i="5" a="1"/>
  <c r="N100" i="5" s="1"/>
  <c r="M100" i="5" a="1"/>
  <c r="M100" i="5" s="1"/>
  <c r="O100" i="5"/>
  <c r="P100" i="5"/>
  <c r="N99" i="5" a="1"/>
  <c r="N99" i="5" s="1"/>
  <c r="M99" i="5" a="1"/>
  <c r="M99" i="5" s="1"/>
  <c r="O99" i="5"/>
  <c r="P99" i="5"/>
  <c r="N95" i="5" a="1"/>
  <c r="N95" i="5" s="1"/>
  <c r="M95" i="5" a="1"/>
  <c r="M95" i="5" s="1"/>
  <c r="O95" i="5"/>
  <c r="P95" i="5"/>
  <c r="N90" i="5" a="1"/>
  <c r="N90" i="5" s="1"/>
  <c r="M90" i="5" a="1"/>
  <c r="M90" i="5" s="1"/>
  <c r="O90" i="5"/>
  <c r="P90" i="5"/>
  <c r="N92" i="5" a="1"/>
  <c r="N92" i="5" s="1"/>
  <c r="M92" i="5" a="1"/>
  <c r="M92" i="5" s="1"/>
  <c r="O92" i="5"/>
  <c r="P92" i="5"/>
  <c r="N91" i="5" a="1"/>
  <c r="N91" i="5" s="1"/>
  <c r="M91" i="5" a="1"/>
  <c r="M91" i="5" s="1"/>
  <c r="O91" i="5"/>
  <c r="P91" i="5"/>
  <c r="N88" i="5" a="1"/>
  <c r="N88" i="5" s="1"/>
  <c r="M88" i="5" a="1"/>
  <c r="M88" i="5" s="1"/>
  <c r="O88" i="5"/>
  <c r="P88" i="5"/>
  <c r="N83" i="5" a="1"/>
  <c r="N83" i="5" s="1"/>
  <c r="M83" i="5" a="1"/>
  <c r="M83" i="5" s="1"/>
  <c r="O83" i="5"/>
  <c r="P83" i="5"/>
  <c r="N80" i="5" a="1"/>
  <c r="N80" i="5" s="1"/>
  <c r="M80" i="5" a="1"/>
  <c r="M80" i="5" s="1"/>
  <c r="O80" i="5"/>
  <c r="P80" i="5"/>
  <c r="N75" i="5" a="1"/>
  <c r="N75" i="5" s="1"/>
  <c r="M75" i="5" a="1"/>
  <c r="M75" i="5" s="1"/>
  <c r="O75" i="5"/>
  <c r="P75" i="5"/>
  <c r="P72" i="5"/>
  <c r="O72" i="5"/>
  <c r="N51" i="5" a="1"/>
  <c r="N51" i="5" s="1"/>
  <c r="M51" i="5" a="1"/>
  <c r="M51" i="5" s="1"/>
  <c r="O51" i="5"/>
  <c r="P51" i="5"/>
  <c r="N50" i="5" a="1"/>
  <c r="N50" i="5" s="1"/>
  <c r="M50" i="5" a="1"/>
  <c r="M50" i="5" s="1"/>
  <c r="O50" i="5"/>
  <c r="P50" i="5"/>
  <c r="N49" i="5" a="1"/>
  <c r="N49" i="5" s="1"/>
  <c r="M49" i="5" a="1"/>
  <c r="M49" i="5" s="1"/>
  <c r="O49" i="5"/>
  <c r="P49" i="5"/>
  <c r="N46" i="5" a="1"/>
  <c r="N46" i="5" s="1"/>
  <c r="M46" i="5" a="1"/>
  <c r="M46" i="5" s="1"/>
  <c r="O46" i="5"/>
  <c r="P46" i="5"/>
  <c r="N40" i="5" a="1"/>
  <c r="N40" i="5" s="1"/>
  <c r="M40" i="5" a="1"/>
  <c r="M40" i="5" s="1"/>
  <c r="O40" i="5"/>
  <c r="P40" i="5"/>
  <c r="N36" i="5" a="1"/>
  <c r="N36" i="5" s="1"/>
  <c r="M36" i="5" a="1"/>
  <c r="M36" i="5" s="1"/>
  <c r="O36" i="5"/>
  <c r="P36" i="5"/>
  <c r="N57" i="5" a="1"/>
  <c r="N57" i="5" s="1"/>
  <c r="M57" i="5" a="1"/>
  <c r="M57" i="5" s="1"/>
  <c r="O57" i="5"/>
  <c r="P57" i="5"/>
  <c r="N54" i="5" a="1"/>
  <c r="N54" i="5" s="1"/>
  <c r="M54" i="5" a="1"/>
  <c r="M54" i="5" s="1"/>
  <c r="O54" i="5"/>
  <c r="P54" i="5"/>
  <c r="N38" i="5" a="1"/>
  <c r="N38" i="5" s="1"/>
  <c r="M38" i="5" a="1"/>
  <c r="M38" i="5" s="1"/>
  <c r="O38" i="5"/>
  <c r="P38" i="5"/>
  <c r="N30" i="5" a="1"/>
  <c r="N30" i="5" s="1"/>
  <c r="M30" i="5" a="1"/>
  <c r="M30" i="5" s="1"/>
  <c r="O30" i="5"/>
  <c r="P30" i="5"/>
  <c r="M298" i="5" a="1"/>
  <c r="M298" i="5" s="1"/>
  <c r="N298" i="5" a="1"/>
  <c r="N298" i="5" s="1"/>
  <c r="O298" i="5"/>
  <c r="P298" i="5"/>
  <c r="M297" i="5" a="1"/>
  <c r="M297" i="5" s="1"/>
  <c r="N297" i="5" a="1"/>
  <c r="N297" i="5" s="1"/>
  <c r="O297" i="5"/>
  <c r="P297" i="5"/>
  <c r="M296" i="5" a="1"/>
  <c r="M296" i="5" s="1"/>
  <c r="N296" i="5" a="1"/>
  <c r="N296" i="5" s="1"/>
  <c r="O296" i="5"/>
  <c r="P296" i="5"/>
  <c r="M293" i="5" a="1"/>
  <c r="M293" i="5" s="1"/>
  <c r="N293" i="5" a="1"/>
  <c r="N293" i="5" s="1"/>
  <c r="O293" i="5"/>
  <c r="P293" i="5"/>
  <c r="M292" i="5" a="1"/>
  <c r="M292" i="5" s="1"/>
  <c r="N292" i="5" a="1"/>
  <c r="N292" i="5" s="1"/>
  <c r="O292" i="5"/>
  <c r="P292" i="5"/>
  <c r="M283" i="5" a="1"/>
  <c r="M283" i="5" s="1"/>
  <c r="N283" i="5" a="1"/>
  <c r="N283" i="5" s="1"/>
  <c r="O283" i="5"/>
  <c r="P283" i="5"/>
  <c r="M280" i="5" a="1"/>
  <c r="M280" i="5" s="1"/>
  <c r="N280" i="5" a="1"/>
  <c r="N280" i="5" s="1"/>
  <c r="O280" i="5"/>
  <c r="P280" i="5"/>
  <c r="M258" i="5" a="1"/>
  <c r="M258" i="5" s="1"/>
  <c r="N258" i="5" a="1"/>
  <c r="N258" i="5" s="1"/>
  <c r="O258" i="5"/>
  <c r="P258" i="5"/>
  <c r="M257" i="5" a="1"/>
  <c r="M257" i="5" s="1"/>
  <c r="N257" i="5" a="1"/>
  <c r="N257" i="5" s="1"/>
  <c r="O257" i="5"/>
  <c r="P257" i="5"/>
  <c r="M246" i="5" a="1"/>
  <c r="M246" i="5" s="1"/>
  <c r="N246" i="5" a="1"/>
  <c r="N246" i="5" s="1"/>
  <c r="O246" i="5"/>
  <c r="P246" i="5"/>
  <c r="M245" i="5" a="1"/>
  <c r="M245" i="5" s="1"/>
  <c r="N245" i="5" a="1"/>
  <c r="N245" i="5" s="1"/>
  <c r="O245" i="5"/>
  <c r="P245" i="5"/>
  <c r="M244" i="5" a="1"/>
  <c r="M244" i="5" s="1"/>
  <c r="N244" i="5" a="1"/>
  <c r="N244" i="5" s="1"/>
  <c r="O244" i="5"/>
  <c r="P244" i="5"/>
  <c r="M241" i="5" a="1"/>
  <c r="M241" i="5" s="1"/>
  <c r="N241" i="5" a="1"/>
  <c r="N241" i="5" s="1"/>
  <c r="O241" i="5"/>
  <c r="P241" i="5"/>
  <c r="M240" i="5" a="1"/>
  <c r="M240" i="5" s="1"/>
  <c r="N240" i="5" a="1"/>
  <c r="N240" i="5" s="1"/>
  <c r="O240" i="5"/>
  <c r="P240" i="5"/>
  <c r="M236" i="5" a="1"/>
  <c r="M236" i="5" s="1"/>
  <c r="N236" i="5" a="1"/>
  <c r="N236" i="5" s="1"/>
  <c r="O236" i="5"/>
  <c r="P236" i="5"/>
  <c r="M232" i="5" a="1"/>
  <c r="M232" i="5" s="1"/>
  <c r="N232" i="5" a="1"/>
  <c r="N232" i="5" s="1"/>
  <c r="O232" i="5"/>
  <c r="P232" i="5"/>
  <c r="M231" i="5" a="1"/>
  <c r="M231" i="5" s="1"/>
  <c r="N231" i="5" a="1"/>
  <c r="N231" i="5" s="1"/>
  <c r="O231" i="5"/>
  <c r="P231" i="5"/>
  <c r="M230" i="5" a="1"/>
  <c r="M230" i="5" s="1"/>
  <c r="N230" i="5" a="1"/>
  <c r="N230" i="5" s="1"/>
  <c r="O230" i="5"/>
  <c r="P230" i="5"/>
  <c r="M227" i="5" a="1"/>
  <c r="M227" i="5" s="1"/>
  <c r="N227" i="5" a="1"/>
  <c r="N227" i="5" s="1"/>
  <c r="O227" i="5"/>
  <c r="P227" i="5"/>
  <c r="M228" i="5" a="1"/>
  <c r="M228" i="5" s="1"/>
  <c r="N228" i="5" a="1"/>
  <c r="N228" i="5" s="1"/>
  <c r="O228" i="5"/>
  <c r="P228" i="5"/>
  <c r="M229" i="5" a="1"/>
  <c r="M229" i="5" s="1"/>
  <c r="N229" i="5" a="1"/>
  <c r="N229" i="5" s="1"/>
  <c r="O229" i="5"/>
  <c r="P229" i="5"/>
  <c r="M226" i="5" a="1"/>
  <c r="M226" i="5" s="1"/>
  <c r="N226" i="5" a="1"/>
  <c r="N226" i="5" s="1"/>
  <c r="O226" i="5"/>
  <c r="P226" i="5"/>
  <c r="M225" i="5" a="1"/>
  <c r="M225" i="5" s="1"/>
  <c r="N225" i="5" a="1"/>
  <c r="N225" i="5" s="1"/>
  <c r="O225" i="5"/>
  <c r="P225" i="5"/>
  <c r="M224" i="5" a="1"/>
  <c r="M224" i="5" s="1"/>
  <c r="N224" i="5" a="1"/>
  <c r="N224" i="5" s="1"/>
  <c r="O224" i="5"/>
  <c r="P224" i="5"/>
  <c r="M223" i="5" a="1"/>
  <c r="M223" i="5" s="1"/>
  <c r="N223" i="5" a="1"/>
  <c r="N223" i="5" s="1"/>
  <c r="O223" i="5"/>
  <c r="P223" i="5"/>
  <c r="M222" i="5" a="1"/>
  <c r="M222" i="5" s="1"/>
  <c r="N222" i="5" a="1"/>
  <c r="N222" i="5" s="1"/>
  <c r="O222" i="5"/>
  <c r="P222" i="5"/>
  <c r="M220" i="5" a="1"/>
  <c r="M220" i="5" s="1"/>
  <c r="N220" i="5" a="1"/>
  <c r="N220" i="5" s="1"/>
  <c r="O220" i="5"/>
  <c r="P220" i="5"/>
  <c r="M219" i="5" a="1"/>
  <c r="M219" i="5" s="1"/>
  <c r="N219" i="5" a="1"/>
  <c r="N219" i="5" s="1"/>
  <c r="O219" i="5"/>
  <c r="P219" i="5"/>
  <c r="M218" i="5" a="1"/>
  <c r="M218" i="5" s="1"/>
  <c r="N218" i="5" a="1"/>
  <c r="N218" i="5" s="1"/>
  <c r="O218" i="5"/>
  <c r="P218" i="5"/>
  <c r="M216" i="5" a="1"/>
  <c r="M216" i="5" s="1"/>
  <c r="N216" i="5" a="1"/>
  <c r="N216" i="5" s="1"/>
  <c r="O216" i="5"/>
  <c r="P216" i="5"/>
  <c r="M213" i="5" a="1"/>
  <c r="M213" i="5" s="1"/>
  <c r="N213" i="5" a="1"/>
  <c r="N213" i="5" s="1"/>
  <c r="O213" i="5"/>
  <c r="P213" i="5"/>
  <c r="M211" i="5" a="1"/>
  <c r="M211" i="5" s="1"/>
  <c r="N211" i="5" a="1"/>
  <c r="N211" i="5" s="1"/>
  <c r="O211" i="5"/>
  <c r="P211" i="5"/>
  <c r="M209" i="5" a="1"/>
  <c r="M209" i="5" s="1"/>
  <c r="N209" i="5" a="1"/>
  <c r="N209" i="5" s="1"/>
  <c r="O209" i="5"/>
  <c r="P209" i="5"/>
  <c r="M207" i="5" a="1"/>
  <c r="M207" i="5" s="1"/>
  <c r="N207" i="5" a="1"/>
  <c r="N207" i="5" s="1"/>
  <c r="O207" i="5"/>
  <c r="P207" i="5"/>
  <c r="M205" i="5" a="1"/>
  <c r="M205" i="5" s="1"/>
  <c r="N205" i="5" a="1"/>
  <c r="N205" i="5" s="1"/>
  <c r="O205" i="5"/>
  <c r="P205" i="5"/>
  <c r="M204" i="5" a="1"/>
  <c r="M204" i="5" s="1"/>
  <c r="N204" i="5" a="1"/>
  <c r="N204" i="5" s="1"/>
  <c r="O204" i="5"/>
  <c r="P204" i="5"/>
  <c r="M200" i="5" a="1"/>
  <c r="M200" i="5" s="1"/>
  <c r="N200" i="5" a="1"/>
  <c r="N200" i="5" s="1"/>
  <c r="O200" i="5"/>
  <c r="P200" i="5"/>
  <c r="M195" i="5" a="1"/>
  <c r="M195" i="5" s="1"/>
  <c r="N195" i="5" a="1"/>
  <c r="N195" i="5" s="1"/>
  <c r="O195" i="5"/>
  <c r="P195" i="5"/>
  <c r="M196" i="5" a="1"/>
  <c r="M196" i="5" s="1"/>
  <c r="N196" i="5" a="1"/>
  <c r="N196" i="5" s="1"/>
  <c r="O196" i="5"/>
  <c r="P196" i="5"/>
  <c r="M197" i="5" a="1"/>
  <c r="M197" i="5" s="1"/>
  <c r="N197" i="5" a="1"/>
  <c r="N197" i="5" s="1"/>
  <c r="O197" i="5"/>
  <c r="P197" i="5"/>
  <c r="M198" i="5" a="1"/>
  <c r="M198" i="5" s="1"/>
  <c r="N198" i="5" a="1"/>
  <c r="N198" i="5" s="1"/>
  <c r="O198" i="5"/>
  <c r="P198" i="5"/>
  <c r="M199" i="5" a="1"/>
  <c r="M199" i="5" s="1"/>
  <c r="N199" i="5" a="1"/>
  <c r="N199" i="5" s="1"/>
  <c r="O199" i="5"/>
  <c r="P199" i="5"/>
  <c r="M194" i="5" a="1"/>
  <c r="M194" i="5" s="1"/>
  <c r="N194" i="5" a="1"/>
  <c r="N194" i="5" s="1"/>
  <c r="O194" i="5"/>
  <c r="P194" i="5"/>
  <c r="M193" i="5" a="1"/>
  <c r="M193" i="5" s="1"/>
  <c r="N193" i="5" a="1"/>
  <c r="N193" i="5" s="1"/>
  <c r="O193" i="5"/>
  <c r="P193" i="5"/>
  <c r="M191" i="5" a="1"/>
  <c r="M191" i="5" s="1"/>
  <c r="N191" i="5" a="1"/>
  <c r="N191" i="5" s="1"/>
  <c r="O191" i="5"/>
  <c r="P191" i="5"/>
  <c r="M190" i="5" a="1"/>
  <c r="M190" i="5" s="1"/>
  <c r="N190" i="5" a="1"/>
  <c r="N190" i="5" s="1"/>
  <c r="O190" i="5"/>
  <c r="P190" i="5"/>
  <c r="M189" i="5" a="1"/>
  <c r="M189" i="5" s="1"/>
  <c r="N189" i="5" a="1"/>
  <c r="N189" i="5" s="1"/>
  <c r="O189" i="5"/>
  <c r="P189" i="5"/>
  <c r="M187" i="5" a="1"/>
  <c r="M187" i="5" s="1"/>
  <c r="N187" i="5" a="1"/>
  <c r="N187" i="5" s="1"/>
  <c r="O187" i="5"/>
  <c r="P187" i="5"/>
  <c r="M185" i="5" a="1"/>
  <c r="M185" i="5" s="1"/>
  <c r="N185" i="5" a="1"/>
  <c r="N185" i="5" s="1"/>
  <c r="O185" i="5"/>
  <c r="P185" i="5"/>
  <c r="M173" i="5" a="1"/>
  <c r="M173" i="5" s="1"/>
  <c r="N173" i="5" a="1"/>
  <c r="N173" i="5" s="1"/>
  <c r="O173" i="5"/>
  <c r="P173" i="5"/>
  <c r="M172" i="5" a="1"/>
  <c r="M172" i="5" s="1"/>
  <c r="N172" i="5" a="1"/>
  <c r="N172" i="5" s="1"/>
  <c r="O172" i="5"/>
  <c r="P172" i="5"/>
  <c r="M171" i="5" a="1"/>
  <c r="M171" i="5" s="1"/>
  <c r="N171" i="5" a="1"/>
  <c r="N171" i="5" s="1"/>
  <c r="O171" i="5"/>
  <c r="P171" i="5"/>
  <c r="M170" i="5" a="1"/>
  <c r="M170" i="5" s="1"/>
  <c r="N170" i="5" a="1"/>
  <c r="N170" i="5" s="1"/>
  <c r="O170" i="5"/>
  <c r="P170" i="5"/>
  <c r="M168" i="5" a="1"/>
  <c r="M168" i="5" s="1"/>
  <c r="N168" i="5" a="1"/>
  <c r="N168" i="5" s="1"/>
  <c r="O168" i="5"/>
  <c r="P168" i="5"/>
  <c r="M167" i="5" a="1"/>
  <c r="M167" i="5" s="1"/>
  <c r="N167" i="5" a="1"/>
  <c r="N167" i="5" s="1"/>
  <c r="O167" i="5"/>
  <c r="P167" i="5"/>
  <c r="M166" i="5" a="1"/>
  <c r="M166" i="5" s="1"/>
  <c r="N166" i="5" a="1"/>
  <c r="N166" i="5" s="1"/>
  <c r="O166" i="5"/>
  <c r="P166" i="5"/>
  <c r="M165" i="5" a="1"/>
  <c r="M165" i="5" s="1"/>
  <c r="N165" i="5" a="1"/>
  <c r="N165" i="5" s="1"/>
  <c r="O165" i="5"/>
  <c r="P165" i="5"/>
  <c r="M164" i="5" a="1"/>
  <c r="M164" i="5" s="1"/>
  <c r="N164" i="5" a="1"/>
  <c r="N164" i="5" s="1"/>
  <c r="O164" i="5"/>
  <c r="P164" i="5"/>
  <c r="M162" i="5" a="1"/>
  <c r="M162" i="5" s="1"/>
  <c r="N162" i="5" a="1"/>
  <c r="N162" i="5" s="1"/>
  <c r="O162" i="5"/>
  <c r="P162" i="5"/>
  <c r="M161" i="5" a="1"/>
  <c r="M161" i="5" s="1"/>
  <c r="N161" i="5" a="1"/>
  <c r="N161" i="5" s="1"/>
  <c r="O161" i="5"/>
  <c r="P161" i="5"/>
  <c r="M159" i="5" a="1"/>
  <c r="M159" i="5" s="1"/>
  <c r="N159" i="5" a="1"/>
  <c r="N159" i="5" s="1"/>
  <c r="O159" i="5"/>
  <c r="P159" i="5"/>
  <c r="M155" i="5" a="1"/>
  <c r="M155" i="5" s="1"/>
  <c r="N155" i="5" a="1"/>
  <c r="N155" i="5" s="1"/>
  <c r="O155" i="5"/>
  <c r="P155" i="5"/>
  <c r="M156" i="5" a="1"/>
  <c r="M156" i="5" s="1"/>
  <c r="N156" i="5" a="1"/>
  <c r="N156" i="5" s="1"/>
  <c r="O156" i="5"/>
  <c r="P156" i="5"/>
  <c r="M157" i="5" a="1"/>
  <c r="M157" i="5" s="1"/>
  <c r="N157" i="5" a="1"/>
  <c r="N157" i="5" s="1"/>
  <c r="O157" i="5"/>
  <c r="P157" i="5"/>
  <c r="M158" i="5" a="1"/>
  <c r="M158" i="5" s="1"/>
  <c r="N158" i="5" a="1"/>
  <c r="N158" i="5" s="1"/>
  <c r="O158" i="5"/>
  <c r="P158" i="5"/>
  <c r="M154" i="5" a="1"/>
  <c r="M154" i="5" s="1"/>
  <c r="N154" i="5" a="1"/>
  <c r="N154" i="5" s="1"/>
  <c r="O154" i="5"/>
  <c r="P154" i="5"/>
  <c r="M134" i="5" a="1"/>
  <c r="M134" i="5" s="1"/>
  <c r="N134" i="5" a="1"/>
  <c r="N134" i="5" s="1"/>
  <c r="O134" i="5"/>
  <c r="P134" i="5"/>
  <c r="M132" i="5" a="1"/>
  <c r="M132" i="5" s="1"/>
  <c r="N132" i="5" a="1"/>
  <c r="N132" i="5" s="1"/>
  <c r="O132" i="5"/>
  <c r="P132" i="5"/>
  <c r="M131" i="5" a="1"/>
  <c r="M131" i="5" s="1"/>
  <c r="N131" i="5" a="1"/>
  <c r="N131" i="5" s="1"/>
  <c r="O131" i="5"/>
  <c r="P131" i="5"/>
  <c r="M128" i="5" a="1"/>
  <c r="M128" i="5" s="1"/>
  <c r="N128" i="5" a="1"/>
  <c r="N128" i="5" s="1"/>
  <c r="O128" i="5"/>
  <c r="P128" i="5"/>
  <c r="M126" i="5" a="1"/>
  <c r="M126" i="5" s="1"/>
  <c r="N126" i="5" a="1"/>
  <c r="N126" i="5" s="1"/>
  <c r="O126" i="5"/>
  <c r="P126" i="5"/>
  <c r="M125" i="5" a="1"/>
  <c r="M125" i="5" s="1"/>
  <c r="N125" i="5" a="1"/>
  <c r="N125" i="5" s="1"/>
  <c r="O125" i="5"/>
  <c r="P125" i="5"/>
  <c r="M124" i="5" a="1"/>
  <c r="M124" i="5" s="1"/>
  <c r="N124" i="5" a="1"/>
  <c r="N124" i="5" s="1"/>
  <c r="O124" i="5"/>
  <c r="P124" i="5"/>
  <c r="M123" i="5" a="1"/>
  <c r="M123" i="5" s="1"/>
  <c r="N123" i="5" a="1"/>
  <c r="N123" i="5" s="1"/>
  <c r="O123" i="5"/>
  <c r="P123" i="5"/>
  <c r="M122" i="5" a="1"/>
  <c r="M122" i="5" s="1"/>
  <c r="N122" i="5" a="1"/>
  <c r="N122" i="5" s="1"/>
  <c r="O122" i="5"/>
  <c r="P122" i="5"/>
  <c r="M121" i="5" a="1"/>
  <c r="M121" i="5" s="1"/>
  <c r="N121" i="5" a="1"/>
  <c r="N121" i="5" s="1"/>
  <c r="O121" i="5"/>
  <c r="P121" i="5"/>
  <c r="M120" i="5" a="1"/>
  <c r="M120" i="5" s="1"/>
  <c r="N120" i="5" a="1"/>
  <c r="N120" i="5" s="1"/>
  <c r="O120" i="5"/>
  <c r="P120" i="5"/>
  <c r="M118" i="5" a="1"/>
  <c r="M118" i="5" s="1"/>
  <c r="N118" i="5" a="1"/>
  <c r="N118" i="5" s="1"/>
  <c r="O118" i="5"/>
  <c r="P118" i="5"/>
  <c r="M119" i="5" a="1"/>
  <c r="M119" i="5" s="1"/>
  <c r="N119" i="5" a="1"/>
  <c r="N119" i="5" s="1"/>
  <c r="O119" i="5"/>
  <c r="P119" i="5"/>
  <c r="M117" i="5" a="1"/>
  <c r="M117" i="5" s="1"/>
  <c r="N117" i="5" a="1"/>
  <c r="N117" i="5" s="1"/>
  <c r="O117" i="5"/>
  <c r="P117" i="5"/>
  <c r="M115" i="5" a="1"/>
  <c r="M115" i="5" s="1"/>
  <c r="N115" i="5" a="1"/>
  <c r="N115" i="5" s="1"/>
  <c r="O115" i="5"/>
  <c r="P115" i="5"/>
  <c r="M111" i="5" a="1"/>
  <c r="M111" i="5" s="1"/>
  <c r="N111" i="5" a="1"/>
  <c r="N111" i="5" s="1"/>
  <c r="O111" i="5"/>
  <c r="P111" i="5"/>
  <c r="M106" i="5" a="1"/>
  <c r="M106" i="5" s="1"/>
  <c r="N106" i="5" a="1"/>
  <c r="N106" i="5" s="1"/>
  <c r="O106" i="5"/>
  <c r="P106" i="5"/>
  <c r="M104" i="5" a="1"/>
  <c r="M104" i="5" s="1"/>
  <c r="N104" i="5" a="1"/>
  <c r="N104" i="5" s="1"/>
  <c r="O104" i="5"/>
  <c r="P104" i="5"/>
  <c r="M103" i="5" a="1"/>
  <c r="M103" i="5" s="1"/>
  <c r="N103" i="5" a="1"/>
  <c r="N103" i="5" s="1"/>
  <c r="O103" i="5"/>
  <c r="P103" i="5"/>
  <c r="M102" i="5" a="1"/>
  <c r="M102" i="5" s="1"/>
  <c r="N102" i="5" a="1"/>
  <c r="N102" i="5" s="1"/>
  <c r="O102" i="5"/>
  <c r="P102" i="5"/>
  <c r="M98" i="5" a="1"/>
  <c r="M98" i="5" s="1"/>
  <c r="N98" i="5" a="1"/>
  <c r="N98" i="5" s="1"/>
  <c r="O98" i="5"/>
  <c r="P98" i="5"/>
  <c r="M97" i="5" a="1"/>
  <c r="M97" i="5" s="1"/>
  <c r="N97" i="5" a="1"/>
  <c r="N97" i="5" s="1"/>
  <c r="O97" i="5"/>
  <c r="P97" i="5"/>
  <c r="M96" i="5" a="1"/>
  <c r="M96" i="5" s="1"/>
  <c r="N96" i="5" a="1"/>
  <c r="N96" i="5" s="1"/>
  <c r="O96" i="5"/>
  <c r="P96" i="5"/>
  <c r="M94" i="5" a="1"/>
  <c r="M94" i="5" s="1"/>
  <c r="N94" i="5" a="1"/>
  <c r="N94" i="5" s="1"/>
  <c r="O94" i="5"/>
  <c r="P94" i="5"/>
  <c r="M93" i="5" a="1"/>
  <c r="M93" i="5" s="1"/>
  <c r="N93" i="5" a="1"/>
  <c r="N93" i="5" s="1"/>
  <c r="O93" i="5"/>
  <c r="P93" i="5"/>
  <c r="M89" i="5" a="1"/>
  <c r="M89" i="5" s="1"/>
  <c r="N89" i="5" a="1"/>
  <c r="N89" i="5" s="1"/>
  <c r="O89" i="5"/>
  <c r="P89" i="5"/>
  <c r="M87" i="5" a="1"/>
  <c r="M87" i="5" s="1"/>
  <c r="N87" i="5" a="1"/>
  <c r="N87" i="5" s="1"/>
  <c r="O87" i="5"/>
  <c r="P87" i="5"/>
  <c r="M86" i="5" a="1"/>
  <c r="M86" i="5" s="1"/>
  <c r="N86" i="5" a="1"/>
  <c r="N86" i="5" s="1"/>
  <c r="O86" i="5"/>
  <c r="P86" i="5"/>
  <c r="M85" i="5" a="1"/>
  <c r="M85" i="5" s="1"/>
  <c r="N85" i="5" a="1"/>
  <c r="N85" i="5" s="1"/>
  <c r="O85" i="5"/>
  <c r="P85" i="5"/>
  <c r="M84" i="5" a="1"/>
  <c r="M84" i="5" s="1"/>
  <c r="N84" i="5" a="1"/>
  <c r="N84" i="5" s="1"/>
  <c r="O84" i="5"/>
  <c r="P84" i="5"/>
  <c r="M82" i="5" a="1"/>
  <c r="M82" i="5" s="1"/>
  <c r="N82" i="5" a="1"/>
  <c r="N82" i="5" s="1"/>
  <c r="O82" i="5"/>
  <c r="P82" i="5"/>
  <c r="M81" i="5" a="1"/>
  <c r="M81" i="5" s="1"/>
  <c r="N81" i="5" a="1"/>
  <c r="N81" i="5" s="1"/>
  <c r="O81" i="5"/>
  <c r="P81" i="5"/>
  <c r="M79" i="5" a="1"/>
  <c r="M79" i="5" s="1"/>
  <c r="N79" i="5" a="1"/>
  <c r="N79" i="5" s="1"/>
  <c r="O79" i="5"/>
  <c r="P79" i="5"/>
  <c r="M78" i="5" a="1"/>
  <c r="M78" i="5" s="1"/>
  <c r="N78" i="5" a="1"/>
  <c r="N78" i="5" s="1"/>
  <c r="O78" i="5"/>
  <c r="P78" i="5"/>
  <c r="M77" i="5" a="1"/>
  <c r="M77" i="5" s="1"/>
  <c r="N77" i="5" a="1"/>
  <c r="N77" i="5" s="1"/>
  <c r="O77" i="5"/>
  <c r="P77" i="5"/>
  <c r="M76" i="5" a="1"/>
  <c r="M76" i="5" s="1"/>
  <c r="N76" i="5" a="1"/>
  <c r="N76" i="5" s="1"/>
  <c r="O76" i="5"/>
  <c r="P76" i="5"/>
  <c r="M74" i="5" a="1"/>
  <c r="M74" i="5" s="1"/>
  <c r="N74" i="5" a="1"/>
  <c r="N74" i="5" s="1"/>
  <c r="O74" i="5"/>
  <c r="P74" i="5"/>
  <c r="M73" i="5" a="1"/>
  <c r="M73" i="5" s="1"/>
  <c r="N73" i="5" a="1"/>
  <c r="N73" i="5" s="1"/>
  <c r="O73" i="5"/>
  <c r="P73" i="5"/>
  <c r="M71" i="5" a="1"/>
  <c r="M71" i="5" s="1"/>
  <c r="N71" i="5" a="1"/>
  <c r="N71" i="5" s="1"/>
  <c r="O71" i="5"/>
  <c r="P71" i="5"/>
  <c r="M70" i="5" a="1"/>
  <c r="M70" i="5" s="1"/>
  <c r="N70" i="5" a="1"/>
  <c r="N70" i="5" s="1"/>
  <c r="O70" i="5"/>
  <c r="P70" i="5"/>
  <c r="M69" i="5" a="1"/>
  <c r="M69" i="5" s="1"/>
  <c r="N69" i="5" a="1"/>
  <c r="N69" i="5" s="1"/>
  <c r="O69" i="5"/>
  <c r="P69" i="5"/>
  <c r="M68" i="5" a="1"/>
  <c r="M68" i="5" s="1"/>
  <c r="N68" i="5" a="1"/>
  <c r="N68" i="5" s="1"/>
  <c r="O68" i="5"/>
  <c r="P68" i="5"/>
  <c r="M66" i="5" a="1"/>
  <c r="M66" i="5" s="1"/>
  <c r="N66" i="5" a="1"/>
  <c r="N66" i="5" s="1"/>
  <c r="O66" i="5"/>
  <c r="P66" i="5"/>
  <c r="M64" i="5" a="1"/>
  <c r="M64" i="5" s="1"/>
  <c r="N64" i="5" a="1"/>
  <c r="N64" i="5" s="1"/>
  <c r="O64" i="5"/>
  <c r="P64" i="5"/>
  <c r="M65" i="5" a="1"/>
  <c r="M65" i="5" s="1"/>
  <c r="N65" i="5" a="1"/>
  <c r="N65" i="5" s="1"/>
  <c r="O65" i="5"/>
  <c r="P65" i="5"/>
  <c r="M63" i="5" a="1"/>
  <c r="M63" i="5" s="1"/>
  <c r="N63" i="5" a="1"/>
  <c r="N63" i="5" s="1"/>
  <c r="O63" i="5"/>
  <c r="P63" i="5"/>
  <c r="M33" i="5" a="1"/>
  <c r="M33" i="5" s="1"/>
  <c r="N33" i="5" a="1"/>
  <c r="N33" i="5" s="1"/>
  <c r="O33" i="5"/>
  <c r="P33" i="5"/>
  <c r="M32" i="5" a="1"/>
  <c r="M32" i="5" s="1"/>
  <c r="N32" i="5" a="1"/>
  <c r="N32" i="5" s="1"/>
  <c r="O32" i="5"/>
  <c r="P32" i="5"/>
  <c r="P23" i="5"/>
  <c r="P15" i="5"/>
  <c r="P16" i="5"/>
  <c r="P17" i="5"/>
  <c r="P18" i="5"/>
  <c r="P19" i="5"/>
  <c r="P20" i="5"/>
  <c r="P21" i="5"/>
  <c r="P22" i="5"/>
  <c r="P14" i="5"/>
  <c r="P6" i="5"/>
  <c r="P7" i="5"/>
  <c r="P10" i="5"/>
  <c r="P11" i="5"/>
  <c r="P12" i="5"/>
  <c r="P13" i="5"/>
  <c r="P5" i="5"/>
  <c r="O17" i="5"/>
  <c r="O203" i="5"/>
  <c r="O186" i="5"/>
  <c r="O163" i="5"/>
  <c r="O152" i="5"/>
  <c r="O141" i="5"/>
  <c r="O127" i="5"/>
  <c r="O67" i="5"/>
  <c r="O62" i="5"/>
  <c r="O61" i="5"/>
  <c r="O60" i="5"/>
  <c r="O59" i="5"/>
  <c r="O58" i="5"/>
  <c r="O56" i="5"/>
  <c r="O55" i="5"/>
  <c r="O53" i="5"/>
  <c r="O52" i="5"/>
  <c r="O48" i="5"/>
  <c r="O47" i="5"/>
  <c r="O45" i="5"/>
  <c r="O44" i="5"/>
  <c r="O43" i="5"/>
  <c r="O42" i="5"/>
  <c r="O41" i="5"/>
  <c r="O39" i="5"/>
  <c r="O37" i="5"/>
  <c r="O35" i="5"/>
  <c r="O34" i="5"/>
  <c r="O31" i="5"/>
  <c r="O29" i="5"/>
  <c r="O28" i="5"/>
  <c r="O27" i="5"/>
  <c r="O26" i="5"/>
  <c r="O25" i="5"/>
  <c r="O24" i="5"/>
  <c r="O23" i="5"/>
  <c r="O22" i="5"/>
  <c r="O21" i="5"/>
  <c r="O20" i="5"/>
  <c r="O19" i="5"/>
  <c r="O18" i="5"/>
  <c r="O16" i="5"/>
  <c r="O15" i="5"/>
  <c r="O14" i="5"/>
  <c r="O13" i="5"/>
  <c r="O12" i="5"/>
  <c r="O11" i="5"/>
  <c r="O10" i="5"/>
  <c r="O7" i="5"/>
  <c r="O6" i="5"/>
  <c r="O5" i="5"/>
  <c r="P24" i="5"/>
  <c r="P25" i="5"/>
  <c r="P26" i="5"/>
  <c r="P27" i="5"/>
  <c r="P28" i="5"/>
  <c r="P29" i="5"/>
  <c r="P31" i="5"/>
  <c r="P34" i="5"/>
  <c r="P35" i="5"/>
  <c r="P37" i="5"/>
  <c r="P39" i="5"/>
  <c r="P41" i="5"/>
  <c r="P42" i="5"/>
  <c r="P43" i="5"/>
  <c r="P44" i="5"/>
  <c r="P45" i="5"/>
  <c r="P47" i="5"/>
  <c r="P48" i="5"/>
  <c r="P52" i="5"/>
  <c r="P53" i="5"/>
  <c r="P55" i="5"/>
  <c r="P56" i="5"/>
  <c r="P58" i="5"/>
  <c r="P59" i="5"/>
  <c r="P60" i="5"/>
  <c r="P61" i="5"/>
  <c r="P62" i="5"/>
  <c r="P67" i="5"/>
  <c r="P127" i="5"/>
  <c r="P141" i="5"/>
  <c r="P152" i="5"/>
  <c r="P163" i="5"/>
  <c r="P186" i="5"/>
  <c r="P203" i="5"/>
  <c r="N60" i="5" l="1" a="1"/>
  <c r="N60" i="5" s="1"/>
  <c r="M60" i="5" a="1"/>
  <c r="M60" i="5" s="1"/>
  <c r="N59" i="5" a="1"/>
  <c r="N59" i="5" s="1"/>
  <c r="M59" i="5" a="1"/>
  <c r="M59" i="5" s="1"/>
  <c r="N58" i="5" a="1"/>
  <c r="N58" i="5" s="1"/>
  <c r="M58" i="5" a="1"/>
  <c r="M58" i="5" s="1"/>
  <c r="N56" i="5" a="1"/>
  <c r="N56" i="5" s="1"/>
  <c r="M56" i="5" a="1"/>
  <c r="M56" i="5" s="1"/>
  <c r="N55" i="5" a="1"/>
  <c r="N55" i="5" s="1"/>
  <c r="M55" i="5" a="1"/>
  <c r="M55" i="5" s="1"/>
  <c r="N67" i="5" a="1"/>
  <c r="N67" i="5" s="1"/>
  <c r="M67" i="5" a="1"/>
  <c r="M67" i="5" s="1"/>
  <c r="N43" i="5" a="1"/>
  <c r="N43" i="5" s="1"/>
  <c r="M43" i="5" a="1"/>
  <c r="M43" i="5" s="1"/>
  <c r="N42" i="5" a="1"/>
  <c r="N42" i="5" s="1"/>
  <c r="M42" i="5" a="1"/>
  <c r="M42" i="5" s="1"/>
  <c r="N41" i="5" a="1"/>
  <c r="N41" i="5" s="1"/>
  <c r="M41" i="5" a="1"/>
  <c r="M41" i="5" s="1"/>
  <c r="N39" i="5" a="1"/>
  <c r="N39" i="5" s="1"/>
  <c r="M39" i="5" a="1"/>
  <c r="M39" i="5" s="1"/>
  <c r="N37" i="5" a="1"/>
  <c r="N37" i="5" s="1"/>
  <c r="M37" i="5" a="1"/>
  <c r="M37" i="5" s="1"/>
  <c r="N35" i="5" a="1"/>
  <c r="N35" i="5" s="1"/>
  <c r="M35" i="5" a="1"/>
  <c r="M35" i="5" s="1"/>
  <c r="N34" i="5" a="1"/>
  <c r="N34" i="5" s="1"/>
  <c r="M34" i="5" a="1"/>
  <c r="M34" i="5" s="1"/>
  <c r="N31" i="5" a="1"/>
  <c r="N31" i="5" s="1"/>
  <c r="M31" i="5" a="1"/>
  <c r="M31" i="5" s="1"/>
  <c r="N29" i="5" a="1"/>
  <c r="N29" i="5" s="1"/>
  <c r="M29" i="5" a="1"/>
  <c r="M29" i="5" s="1"/>
  <c r="N28" i="5" a="1"/>
  <c r="N28" i="5" s="1"/>
  <c r="M28" i="5" a="1"/>
  <c r="M28" i="5" s="1"/>
  <c r="N27" i="5" a="1"/>
  <c r="N27" i="5" s="1"/>
  <c r="M27" i="5" a="1"/>
  <c r="M27" i="5" s="1"/>
  <c r="N26" i="5" a="1"/>
  <c r="N26" i="5" s="1"/>
  <c r="M26" i="5" a="1"/>
  <c r="M26" i="5" s="1"/>
  <c r="N25" i="5" a="1"/>
  <c r="N25" i="5" s="1"/>
  <c r="M25" i="5" a="1"/>
  <c r="M25" i="5" s="1"/>
  <c r="N24" i="5" a="1"/>
  <c r="N24" i="5" s="1"/>
  <c r="M24" i="5" a="1"/>
  <c r="M24" i="5" s="1"/>
  <c r="N47" i="5" a="1"/>
  <c r="N47" i="5" s="1"/>
  <c r="M47" i="5" a="1"/>
  <c r="M47" i="5" s="1"/>
  <c r="N45" i="5" a="1"/>
  <c r="N45" i="5" s="1"/>
  <c r="M45" i="5" a="1"/>
  <c r="M45" i="5" s="1"/>
  <c r="N44" i="5" a="1"/>
  <c r="N44" i="5" s="1"/>
  <c r="M44" i="5" a="1"/>
  <c r="M44" i="5" s="1"/>
  <c r="N23" i="5" a="1"/>
  <c r="N23" i="5" s="1"/>
  <c r="M23" i="5" a="1"/>
  <c r="M23" i="5" s="1"/>
  <c r="N22" i="5" a="1"/>
  <c r="N22" i="5" s="1"/>
  <c r="M22" i="5" a="1"/>
  <c r="M22" i="5" s="1"/>
  <c r="N15" i="5" a="1"/>
  <c r="N15" i="5" s="1"/>
  <c r="M15" i="5" a="1"/>
  <c r="M15" i="5" s="1"/>
  <c r="N13" i="5" a="1"/>
  <c r="N13" i="5" s="1"/>
  <c r="M13" i="5" a="1"/>
  <c r="M13" i="5" s="1"/>
  <c r="N12" i="5" a="1"/>
  <c r="N12" i="5" s="1"/>
  <c r="M12" i="5" a="1"/>
  <c r="M12" i="5" s="1"/>
  <c r="N11" i="5" a="1"/>
  <c r="N11" i="5" s="1"/>
  <c r="M11" i="5" a="1"/>
  <c r="M11" i="5" s="1"/>
  <c r="N48" i="5" a="1"/>
  <c r="N48" i="5" s="1"/>
  <c r="N52" i="5" a="1"/>
  <c r="N52" i="5" s="1"/>
  <c r="N53" i="5" a="1"/>
  <c r="N53" i="5" s="1"/>
  <c r="N61" i="5" a="1"/>
  <c r="N61" i="5" s="1"/>
  <c r="N62" i="5" a="1"/>
  <c r="N62" i="5" s="1"/>
  <c r="N127" i="5" a="1"/>
  <c r="N127" i="5" s="1"/>
  <c r="N141" i="5" a="1"/>
  <c r="N141" i="5" s="1"/>
  <c r="N152" i="5" a="1"/>
  <c r="N152" i="5" s="1"/>
  <c r="N163" i="5" a="1"/>
  <c r="N163" i="5" s="1"/>
  <c r="N186" i="5" a="1"/>
  <c r="N186" i="5" s="1"/>
  <c r="N203" i="5" a="1"/>
  <c r="N203"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347" i="5" a="1"/>
  <c r="N347" i="5" s="1"/>
  <c r="N348" i="5" a="1"/>
  <c r="N348" i="5" s="1"/>
  <c r="N349" i="5" a="1"/>
  <c r="N349" i="5" s="1"/>
  <c r="N350" i="5" a="1"/>
  <c r="N350" i="5" s="1"/>
  <c r="N351" i="5" a="1"/>
  <c r="N351" i="5" s="1"/>
  <c r="N352" i="5" a="1"/>
  <c r="N352" i="5" s="1"/>
  <c r="N353" i="5" a="1"/>
  <c r="N353" i="5" s="1"/>
  <c r="N354" i="5" a="1"/>
  <c r="N354" i="5" s="1"/>
  <c r="N355" i="5" a="1"/>
  <c r="N355" i="5" s="1"/>
  <c r="N356" i="5" a="1"/>
  <c r="N356" i="5" s="1"/>
  <c r="N357" i="5" a="1"/>
  <c r="N357" i="5" s="1"/>
  <c r="N358" i="5" a="1"/>
  <c r="N358" i="5" s="1"/>
  <c r="N359" i="5" a="1"/>
  <c r="N359" i="5" s="1"/>
  <c r="N360" i="5" a="1"/>
  <c r="N360" i="5" s="1"/>
  <c r="N361" i="5" a="1"/>
  <c r="N361" i="5" s="1"/>
  <c r="N362" i="5" a="1"/>
  <c r="N362" i="5" s="1"/>
  <c r="N363" i="5" a="1"/>
  <c r="N363" i="5" s="1"/>
  <c r="N364" i="5" a="1"/>
  <c r="N364" i="5" s="1"/>
  <c r="N365" i="5" a="1"/>
  <c r="N365" i="5" s="1"/>
  <c r="N366" i="5" a="1"/>
  <c r="N366" i="5" s="1"/>
  <c r="N367" i="5" a="1"/>
  <c r="N367" i="5" s="1"/>
  <c r="N368" i="5" a="1"/>
  <c r="N368" i="5" s="1"/>
  <c r="N369" i="5" a="1"/>
  <c r="N369" i="5" s="1"/>
  <c r="N370" i="5" a="1"/>
  <c r="N370" i="5" s="1"/>
  <c r="N371" i="5" a="1"/>
  <c r="N371" i="5" s="1"/>
  <c r="N372" i="5" a="1"/>
  <c r="N372" i="5" s="1"/>
  <c r="N373" i="5" a="1"/>
  <c r="N373" i="5" s="1"/>
  <c r="N374" i="5" a="1"/>
  <c r="N374" i="5" s="1"/>
  <c r="N375" i="5" a="1"/>
  <c r="N375" i="5" s="1"/>
  <c r="N376" i="5" a="1"/>
  <c r="N376" i="5" s="1"/>
  <c r="N377" i="5" a="1"/>
  <c r="N377" i="5" s="1"/>
  <c r="N378" i="5" a="1"/>
  <c r="N378" i="5" s="1"/>
  <c r="N379" i="5" a="1"/>
  <c r="N379" i="5" s="1"/>
  <c r="N380" i="5" a="1"/>
  <c r="N380" i="5" s="1"/>
  <c r="N381" i="5" a="1"/>
  <c r="N381" i="5" s="1"/>
  <c r="N382" i="5" a="1"/>
  <c r="N382" i="5" s="1"/>
  <c r="N383" i="5" a="1"/>
  <c r="N383" i="5" s="1"/>
  <c r="N384" i="5" a="1"/>
  <c r="N384" i="5" s="1"/>
  <c r="N385" i="5" a="1"/>
  <c r="N385" i="5" s="1"/>
  <c r="N386" i="5" a="1"/>
  <c r="N386" i="5" s="1"/>
  <c r="N387" i="5" a="1"/>
  <c r="N387" i="5" s="1"/>
  <c r="N388" i="5" a="1"/>
  <c r="N388" i="5" s="1"/>
  <c r="N389" i="5" a="1"/>
  <c r="N389" i="5" s="1"/>
  <c r="N390" i="5" a="1"/>
  <c r="N390" i="5" s="1"/>
  <c r="N391" i="5" a="1"/>
  <c r="N391" i="5" s="1"/>
  <c r="N392" i="5" a="1"/>
  <c r="N392" i="5" s="1"/>
  <c r="N393" i="5" a="1"/>
  <c r="N393" i="5" s="1"/>
  <c r="N394" i="5" a="1"/>
  <c r="N394" i="5" s="1"/>
  <c r="N395" i="5" a="1"/>
  <c r="N395" i="5" s="1"/>
  <c r="N396" i="5" a="1"/>
  <c r="N396" i="5" s="1"/>
  <c r="N397" i="5" a="1"/>
  <c r="N397" i="5" s="1"/>
  <c r="N398" i="5" a="1"/>
  <c r="N398" i="5" s="1"/>
  <c r="N399" i="5" a="1"/>
  <c r="N399" i="5" s="1"/>
  <c r="N400" i="5" a="1"/>
  <c r="N400" i="5" s="1"/>
  <c r="N401" i="5" a="1"/>
  <c r="N401" i="5" s="1"/>
  <c r="N402" i="5" a="1"/>
  <c r="N402" i="5" s="1"/>
  <c r="N403" i="5" a="1"/>
  <c r="N403" i="5" s="1"/>
  <c r="N404" i="5" a="1"/>
  <c r="N404" i="5" s="1"/>
  <c r="N405" i="5" a="1"/>
  <c r="N405" i="5" s="1"/>
  <c r="N406" i="5" a="1"/>
  <c r="N406" i="5" s="1"/>
  <c r="N407" i="5" a="1"/>
  <c r="N407" i="5" s="1"/>
  <c r="N408" i="5" a="1"/>
  <c r="N408" i="5" s="1"/>
  <c r="N409" i="5" a="1"/>
  <c r="N409" i="5" s="1"/>
  <c r="N410" i="5" a="1"/>
  <c r="N410" i="5" s="1"/>
  <c r="N411" i="5" a="1"/>
  <c r="N411" i="5" s="1"/>
  <c r="N412" i="5" a="1"/>
  <c r="N412" i="5" s="1"/>
  <c r="N413" i="5" a="1"/>
  <c r="N413" i="5" s="1"/>
  <c r="N414" i="5" a="1"/>
  <c r="N414" i="5" s="1"/>
  <c r="N415" i="5" a="1"/>
  <c r="N415" i="5" s="1"/>
  <c r="N416" i="5" a="1"/>
  <c r="N416" i="5" s="1"/>
  <c r="N417" i="5" a="1"/>
  <c r="N417" i="5" s="1"/>
  <c r="N418" i="5" a="1"/>
  <c r="N418" i="5" s="1"/>
  <c r="N419" i="5" a="1"/>
  <c r="N419" i="5" s="1"/>
  <c r="N420" i="5" a="1"/>
  <c r="N420" i="5" s="1"/>
  <c r="N421" i="5" a="1"/>
  <c r="N421" i="5" s="1"/>
  <c r="N422" i="5" a="1"/>
  <c r="N422" i="5" s="1"/>
  <c r="N423" i="5" a="1"/>
  <c r="N423" i="5" s="1"/>
  <c r="N424" i="5" a="1"/>
  <c r="N424" i="5" s="1"/>
  <c r="N425" i="5" a="1"/>
  <c r="N425" i="5" s="1"/>
  <c r="N426" i="5" a="1"/>
  <c r="N426" i="5" s="1"/>
  <c r="N427" i="5" a="1"/>
  <c r="N427" i="5" s="1"/>
  <c r="N428" i="5" a="1"/>
  <c r="N428" i="5" s="1"/>
  <c r="N429" i="5" a="1"/>
  <c r="N429" i="5" s="1"/>
  <c r="N430" i="5" a="1"/>
  <c r="N430" i="5" s="1"/>
  <c r="N431" i="5" a="1"/>
  <c r="N431" i="5" s="1"/>
  <c r="N432" i="5" a="1"/>
  <c r="N432" i="5" s="1"/>
  <c r="N433" i="5" a="1"/>
  <c r="N433" i="5" s="1"/>
  <c r="N434" i="5" a="1"/>
  <c r="N434" i="5" s="1"/>
  <c r="N435" i="5" a="1"/>
  <c r="N435" i="5" s="1"/>
  <c r="N436" i="5" a="1"/>
  <c r="N436" i="5" s="1"/>
  <c r="N437" i="5" a="1"/>
  <c r="N437" i="5" s="1"/>
  <c r="N438" i="5" a="1"/>
  <c r="N438" i="5" s="1"/>
  <c r="N439" i="5" a="1"/>
  <c r="N439" i="5" s="1"/>
  <c r="N440" i="5" a="1"/>
  <c r="N440" i="5" s="1"/>
  <c r="N441" i="5" a="1"/>
  <c r="N441" i="5" s="1"/>
  <c r="N442" i="5" a="1"/>
  <c r="N442" i="5" s="1"/>
  <c r="N443" i="5" a="1"/>
  <c r="N443" i="5" s="1"/>
  <c r="N444" i="5" a="1"/>
  <c r="N444" i="5" s="1"/>
  <c r="N445" i="5" a="1"/>
  <c r="N445" i="5" s="1"/>
  <c r="N446" i="5" a="1"/>
  <c r="N446" i="5" s="1"/>
  <c r="N447" i="5" a="1"/>
  <c r="N447" i="5" s="1"/>
  <c r="N448" i="5" a="1"/>
  <c r="N448" i="5" s="1"/>
  <c r="N449" i="5" a="1"/>
  <c r="N449" i="5" s="1"/>
  <c r="N450" i="5" a="1"/>
  <c r="N450" i="5" s="1"/>
  <c r="N451" i="5" a="1"/>
  <c r="N451" i="5" s="1"/>
  <c r="N452" i="5" a="1"/>
  <c r="N452" i="5" s="1"/>
  <c r="N453" i="5" a="1"/>
  <c r="N453" i="5" s="1"/>
  <c r="N454" i="5" a="1"/>
  <c r="N454" i="5" s="1"/>
  <c r="N455" i="5" a="1"/>
  <c r="N455" i="5" s="1"/>
  <c r="N456" i="5" a="1"/>
  <c r="N456" i="5" s="1"/>
  <c r="N457" i="5" a="1"/>
  <c r="N457" i="5" s="1"/>
  <c r="N458" i="5" a="1"/>
  <c r="N458" i="5" s="1"/>
  <c r="N459" i="5" a="1"/>
  <c r="N459" i="5" s="1"/>
  <c r="N460" i="5" a="1"/>
  <c r="N460" i="5" s="1"/>
  <c r="N461" i="5" a="1"/>
  <c r="N461" i="5" s="1"/>
  <c r="N462" i="5" a="1"/>
  <c r="N462" i="5" s="1"/>
  <c r="N6" i="5" a="1"/>
  <c r="N6" i="5" s="1"/>
  <c r="N7" i="5" a="1"/>
  <c r="N7" i="5" s="1"/>
  <c r="N10" i="5" a="1"/>
  <c r="N10" i="5" s="1"/>
  <c r="N14" i="5" a="1"/>
  <c r="N14" i="5" s="1"/>
  <c r="N16" i="5" a="1"/>
  <c r="N16" i="5" s="1"/>
  <c r="N17" i="5" a="1"/>
  <c r="N17" i="5" s="1"/>
  <c r="N18" i="5" a="1"/>
  <c r="N18" i="5" s="1"/>
  <c r="N19" i="5" a="1"/>
  <c r="N19" i="5" s="1"/>
  <c r="N20" i="5" a="1"/>
  <c r="N20" i="5" s="1"/>
  <c r="N21" i="5" a="1"/>
  <c r="N21" i="5" s="1"/>
  <c r="M6" i="5" a="1"/>
  <c r="M6" i="5" s="1"/>
  <c r="M7" i="5" a="1"/>
  <c r="M7" i="5" s="1"/>
  <c r="M10" i="5" a="1"/>
  <c r="M10" i="5" s="1"/>
  <c r="M14" i="5" a="1"/>
  <c r="M14" i="5" s="1"/>
  <c r="M16" i="5" a="1"/>
  <c r="M16" i="5" s="1"/>
  <c r="M17" i="5" a="1"/>
  <c r="M17" i="5" s="1"/>
  <c r="M18" i="5" a="1"/>
  <c r="M18" i="5" s="1"/>
  <c r="M19" i="5" a="1"/>
  <c r="M19" i="5" s="1"/>
  <c r="M20" i="5" a="1"/>
  <c r="M20" i="5" s="1"/>
  <c r="M21" i="5" a="1"/>
  <c r="M21" i="5" s="1"/>
  <c r="M48" i="5" a="1"/>
  <c r="M48" i="5" s="1"/>
  <c r="M52" i="5" a="1"/>
  <c r="M52" i="5" s="1"/>
  <c r="M53" i="5" a="1"/>
  <c r="M53" i="5" s="1"/>
  <c r="M61" i="5" a="1"/>
  <c r="M61" i="5" s="1"/>
  <c r="M62" i="5" a="1"/>
  <c r="M62" i="5" s="1"/>
  <c r="M127" i="5" a="1"/>
  <c r="M127" i="5" s="1"/>
  <c r="M141" i="5" a="1"/>
  <c r="M141" i="5" s="1"/>
  <c r="M152" i="5" a="1"/>
  <c r="M152" i="5" s="1"/>
  <c r="M163" i="5" a="1"/>
  <c r="M163" i="5" s="1"/>
  <c r="M186" i="5" a="1"/>
  <c r="M186" i="5" s="1"/>
  <c r="M203" i="5" a="1"/>
  <c r="M203" i="5" s="1"/>
  <c r="M299" i="5" a="1"/>
  <c r="M299" i="5" s="1"/>
  <c r="M300" i="5" a="1"/>
  <c r="M300" i="5" s="1"/>
  <c r="M301" i="5" a="1"/>
  <c r="M301" i="5" s="1"/>
  <c r="M302" i="5" a="1"/>
  <c r="M302" i="5" s="1"/>
  <c r="M303" i="5" a="1"/>
  <c r="M303" i="5" s="1"/>
  <c r="M304" i="5" a="1"/>
  <c r="M304" i="5" s="1"/>
  <c r="M305" i="5" a="1"/>
  <c r="M305" i="5" s="1"/>
  <c r="M306" i="5" a="1"/>
  <c r="M306" i="5" s="1"/>
  <c r="M307" i="5" a="1"/>
  <c r="M307" i="5" s="1"/>
  <c r="M308" i="5" a="1"/>
  <c r="M308" i="5" s="1"/>
  <c r="M309" i="5" a="1"/>
  <c r="M309" i="5" s="1"/>
  <c r="M310" i="5" a="1"/>
  <c r="M310" i="5" s="1"/>
  <c r="M311" i="5" a="1"/>
  <c r="M311" i="5" s="1"/>
  <c r="M312" i="5" a="1"/>
  <c r="M312" i="5" s="1"/>
  <c r="M313" i="5" a="1"/>
  <c r="M313" i="5" s="1"/>
  <c r="M314" i="5" a="1"/>
  <c r="M314" i="5" s="1"/>
  <c r="M315" i="5" a="1"/>
  <c r="M315" i="5" s="1"/>
  <c r="M316" i="5" a="1"/>
  <c r="M316" i="5" s="1"/>
  <c r="M317" i="5" a="1"/>
  <c r="M317" i="5" s="1"/>
  <c r="M318" i="5" a="1"/>
  <c r="M318" i="5" s="1"/>
  <c r="M319" i="5" a="1"/>
  <c r="M319" i="5" s="1"/>
  <c r="M320" i="5" a="1"/>
  <c r="M320" i="5" s="1"/>
  <c r="M321" i="5" a="1"/>
  <c r="M321" i="5" s="1"/>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s="1"/>
  <c r="M337" i="5" a="1"/>
  <c r="M337" i="5" s="1"/>
  <c r="M338" i="5" a="1"/>
  <c r="M338" i="5" s="1"/>
  <c r="M339" i="5" a="1"/>
  <c r="M339" i="5" s="1"/>
  <c r="M340" i="5" a="1"/>
  <c r="M340" i="5" s="1"/>
  <c r="M341" i="5" a="1"/>
  <c r="M341" i="5" s="1"/>
  <c r="M342" i="5" a="1"/>
  <c r="M342" i="5" s="1"/>
  <c r="M343" i="5" a="1"/>
  <c r="M343" i="5" s="1"/>
  <c r="M344" i="5" a="1"/>
  <c r="M344" i="5" s="1"/>
  <c r="M345" i="5" a="1"/>
  <c r="M345" i="5" s="1"/>
  <c r="M346" i="5" a="1"/>
  <c r="M346" i="5" s="1"/>
  <c r="M347" i="5" a="1"/>
  <c r="M347" i="5" s="1"/>
  <c r="M348" i="5" a="1"/>
  <c r="M348" i="5" s="1"/>
  <c r="M349" i="5" a="1"/>
  <c r="M349" i="5" s="1"/>
  <c r="M350" i="5" a="1"/>
  <c r="M350" i="5" s="1"/>
  <c r="M351" i="5" a="1"/>
  <c r="M351" i="5" s="1"/>
  <c r="M352" i="5" a="1"/>
  <c r="M352" i="5" s="1"/>
  <c r="M353" i="5" a="1"/>
  <c r="M353" i="5" s="1"/>
  <c r="M354" i="5" a="1"/>
  <c r="M354" i="5" s="1"/>
  <c r="M355" i="5" a="1"/>
  <c r="M355" i="5" s="1"/>
  <c r="M356" i="5" a="1"/>
  <c r="M356" i="5" s="1"/>
  <c r="M357" i="5" a="1"/>
  <c r="M357" i="5" s="1"/>
  <c r="M358" i="5" a="1"/>
  <c r="M358" i="5" s="1"/>
  <c r="M359" i="5" a="1"/>
  <c r="M359" i="5" s="1"/>
  <c r="M360" i="5" a="1"/>
  <c r="M360" i="5" s="1"/>
  <c r="M361" i="5" a="1"/>
  <c r="M361" i="5" s="1"/>
  <c r="M362" i="5" a="1"/>
  <c r="M362" i="5" s="1"/>
  <c r="M363" i="5" a="1"/>
  <c r="M363" i="5" s="1"/>
  <c r="M364" i="5" a="1"/>
  <c r="M364" i="5" s="1"/>
  <c r="M365" i="5" a="1"/>
  <c r="M365" i="5" s="1"/>
  <c r="M366" i="5" a="1"/>
  <c r="M366" i="5" s="1"/>
  <c r="M367" i="5" a="1"/>
  <c r="M367" i="5" s="1"/>
  <c r="M368" i="5" a="1"/>
  <c r="M368" i="5" s="1"/>
  <c r="M369" i="5" a="1"/>
  <c r="M369" i="5" s="1"/>
  <c r="M370" i="5" a="1"/>
  <c r="M370" i="5" s="1"/>
  <c r="M371" i="5" a="1"/>
  <c r="M371" i="5" s="1"/>
  <c r="M372" i="5" a="1"/>
  <c r="M372" i="5" s="1"/>
  <c r="M373" i="5" a="1"/>
  <c r="M373" i="5" s="1"/>
  <c r="M374" i="5" a="1"/>
  <c r="M374" i="5" s="1"/>
  <c r="M375" i="5" a="1"/>
  <c r="M375" i="5" s="1"/>
  <c r="M376" i="5" a="1"/>
  <c r="M376" i="5" s="1"/>
  <c r="M377" i="5" a="1"/>
  <c r="M377" i="5" s="1"/>
  <c r="M378" i="5" a="1"/>
  <c r="M378" i="5" s="1"/>
  <c r="M379" i="5" a="1"/>
  <c r="M379" i="5" s="1"/>
  <c r="M380" i="5" a="1"/>
  <c r="M380" i="5" s="1"/>
  <c r="M381" i="5" a="1"/>
  <c r="M381" i="5" s="1"/>
  <c r="M382" i="5" a="1"/>
  <c r="M382" i="5" s="1"/>
  <c r="M383" i="5" a="1"/>
  <c r="M383" i="5" s="1"/>
  <c r="M384" i="5" a="1"/>
  <c r="M384" i="5" s="1"/>
  <c r="M385" i="5" a="1"/>
  <c r="M385" i="5" s="1"/>
  <c r="M386" i="5" a="1"/>
  <c r="M386" i="5" s="1"/>
  <c r="M387" i="5" a="1"/>
  <c r="M387" i="5" s="1"/>
  <c r="M388" i="5" a="1"/>
  <c r="M388" i="5" s="1"/>
  <c r="M389" i="5" a="1"/>
  <c r="M389" i="5" s="1"/>
  <c r="M390" i="5" a="1"/>
  <c r="M390" i="5" s="1"/>
  <c r="M391" i="5" a="1"/>
  <c r="M391" i="5" s="1"/>
  <c r="M392" i="5" a="1"/>
  <c r="M392" i="5" s="1"/>
  <c r="M393" i="5" a="1"/>
  <c r="M393" i="5" s="1"/>
  <c r="M394" i="5" a="1"/>
  <c r="M394" i="5" s="1"/>
  <c r="M395" i="5" a="1"/>
  <c r="M395" i="5" s="1"/>
  <c r="M396" i="5" a="1"/>
  <c r="M396" i="5" s="1"/>
  <c r="M397" i="5" a="1"/>
  <c r="M397" i="5" s="1"/>
  <c r="M398" i="5" a="1"/>
  <c r="M398" i="5" s="1"/>
  <c r="M399" i="5" a="1"/>
  <c r="M399" i="5" s="1"/>
  <c r="M400" i="5" a="1"/>
  <c r="M400" i="5" s="1"/>
  <c r="M401" i="5" a="1"/>
  <c r="M401" i="5" s="1"/>
  <c r="M402" i="5" a="1"/>
  <c r="M402" i="5" s="1"/>
  <c r="M403" i="5" a="1"/>
  <c r="M403" i="5" s="1"/>
  <c r="M404" i="5" a="1"/>
  <c r="M404" i="5" s="1"/>
  <c r="M405" i="5" a="1"/>
  <c r="M405" i="5" s="1"/>
  <c r="M406" i="5" a="1"/>
  <c r="M406" i="5" s="1"/>
  <c r="M407" i="5" a="1"/>
  <c r="M407" i="5" s="1"/>
  <c r="M408" i="5" a="1"/>
  <c r="M408" i="5" s="1"/>
  <c r="M409" i="5" a="1"/>
  <c r="M409" i="5" s="1"/>
  <c r="M410" i="5" a="1"/>
  <c r="M410" i="5" s="1"/>
  <c r="M411" i="5" a="1"/>
  <c r="M411" i="5" s="1"/>
  <c r="M412" i="5" a="1"/>
  <c r="M412" i="5" s="1"/>
  <c r="M413" i="5" a="1"/>
  <c r="M413" i="5" s="1"/>
  <c r="M414" i="5" a="1"/>
  <c r="M414" i="5" s="1"/>
  <c r="M415" i="5" a="1"/>
  <c r="M415" i="5" s="1"/>
  <c r="M416" i="5" a="1"/>
  <c r="M416" i="5" s="1"/>
  <c r="M417" i="5" a="1"/>
  <c r="M417" i="5" s="1"/>
  <c r="M418" i="5" a="1"/>
  <c r="M418" i="5" s="1"/>
  <c r="M419" i="5" a="1"/>
  <c r="M419" i="5" s="1"/>
  <c r="M420" i="5" a="1"/>
  <c r="M420" i="5" s="1"/>
  <c r="M421" i="5" a="1"/>
  <c r="M421" i="5" s="1"/>
  <c r="M422" i="5" a="1"/>
  <c r="M422" i="5" s="1"/>
  <c r="M423" i="5" a="1"/>
  <c r="M423" i="5" s="1"/>
  <c r="M424" i="5" a="1"/>
  <c r="M424" i="5" s="1"/>
  <c r="M425" i="5" a="1"/>
  <c r="M425" i="5" s="1"/>
  <c r="M426" i="5" a="1"/>
  <c r="M426" i="5" s="1"/>
  <c r="M427" i="5" a="1"/>
  <c r="M427" i="5" s="1"/>
  <c r="M428" i="5" a="1"/>
  <c r="M428" i="5" s="1"/>
  <c r="M429" i="5" a="1"/>
  <c r="M429" i="5" s="1"/>
  <c r="M430" i="5" a="1"/>
  <c r="M430" i="5" s="1"/>
  <c r="M431" i="5" a="1"/>
  <c r="M431" i="5" s="1"/>
  <c r="M432" i="5" a="1"/>
  <c r="M432" i="5" s="1"/>
  <c r="M433" i="5" a="1"/>
  <c r="M433" i="5" s="1"/>
  <c r="M434" i="5" a="1"/>
  <c r="M434" i="5" s="1"/>
  <c r="M435" i="5" a="1"/>
  <c r="M435" i="5" s="1"/>
  <c r="M436" i="5" a="1"/>
  <c r="M436" i="5" s="1"/>
  <c r="M437" i="5" a="1"/>
  <c r="M437" i="5" s="1"/>
  <c r="M438" i="5" a="1"/>
  <c r="M438" i="5" s="1"/>
  <c r="M439" i="5" a="1"/>
  <c r="M439" i="5" s="1"/>
  <c r="M440" i="5" a="1"/>
  <c r="M440" i="5" s="1"/>
  <c r="M441" i="5" a="1"/>
  <c r="M441" i="5" s="1"/>
  <c r="M442" i="5" a="1"/>
  <c r="M442" i="5" s="1"/>
  <c r="M443" i="5" a="1"/>
  <c r="M443" i="5" s="1"/>
  <c r="M444" i="5" a="1"/>
  <c r="M444" i="5" s="1"/>
  <c r="M445" i="5" a="1"/>
  <c r="M445" i="5" s="1"/>
  <c r="M446" i="5" a="1"/>
  <c r="M446" i="5" s="1"/>
  <c r="M447" i="5" a="1"/>
  <c r="M447" i="5" s="1"/>
  <c r="M448" i="5" a="1"/>
  <c r="M448" i="5" s="1"/>
  <c r="M449" i="5" a="1"/>
  <c r="M449" i="5" s="1"/>
  <c r="M450" i="5" a="1"/>
  <c r="M450" i="5" s="1"/>
  <c r="M451" i="5" a="1"/>
  <c r="M451" i="5" s="1"/>
  <c r="M452" i="5" a="1"/>
  <c r="M452" i="5" s="1"/>
  <c r="M453" i="5" a="1"/>
  <c r="M453" i="5" s="1"/>
  <c r="M454" i="5" a="1"/>
  <c r="M454" i="5" s="1"/>
  <c r="M455" i="5" a="1"/>
  <c r="M455" i="5" s="1"/>
  <c r="M456" i="5" a="1"/>
  <c r="M456" i="5" s="1"/>
  <c r="M457" i="5" a="1"/>
  <c r="M457" i="5" s="1"/>
  <c r="M458" i="5" a="1"/>
  <c r="M458" i="5" s="1"/>
  <c r="M459" i="5" a="1"/>
  <c r="M459" i="5" s="1"/>
  <c r="M460" i="5" a="1"/>
  <c r="M460" i="5" s="1"/>
  <c r="M461" i="5" a="1"/>
  <c r="M461" i="5" s="1"/>
  <c r="M462" i="5" a="1"/>
  <c r="M462" i="5" s="1"/>
  <c r="M5" i="5" a="1"/>
  <c r="M5" i="5" s="1"/>
  <c r="N5" i="5" a="1"/>
  <c r="N5"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<sst xmlns="http://schemas.openxmlformats.org/spreadsheetml/2006/main" count="1588" uniqueCount="459">
  <si>
    <r>
      <rPr>
        <b/>
        <sz val="14"/>
        <color rgb="FF000000"/>
        <rFont val="Aptos Narrow"/>
        <scheme val="minor"/>
      </rPr>
      <t xml:space="preserve">Purpose
</t>
    </r>
    <r>
      <rPr>
        <sz val="11"/>
        <color rgb="FF000000"/>
        <rFont val="Aptos Narrow"/>
        <scheme val="minor"/>
      </rPr>
      <t xml:space="preserve">
The primary purpose of this document is to help developers create the </t>
    </r>
    <r>
      <rPr>
        <b/>
        <sz val="11"/>
        <color rgb="FF000000"/>
        <rFont val="Aptos Narrow"/>
        <scheme val="minor"/>
      </rPr>
      <t>Requirements List CSV</t>
    </r>
    <r>
      <rPr>
        <sz val="11"/>
        <color rgb="FF000000"/>
        <rFont val="Aptos Narrow"/>
        <scheme val="minor"/>
      </rPr>
      <t xml:space="preserve">  and </t>
    </r>
    <r>
      <rPr>
        <b/>
        <sz val="11"/>
        <color rgb="FF000000"/>
        <rFont val="Aptos Narrow"/>
        <scheme val="minor"/>
      </rPr>
      <t xml:space="preserve">Out-of-Scope Requirements List CSV </t>
    </r>
    <r>
      <rPr>
        <sz val="11"/>
        <color rgb="FF000000"/>
        <rFont val="Aptos Narrow"/>
        <scheme val="minor"/>
      </rPr>
      <t xml:space="preserve">documents. The </t>
    </r>
    <r>
      <rPr>
        <b/>
        <sz val="11"/>
        <color rgb="FF000000"/>
        <rFont val="Aptos Narrow"/>
        <scheme val="minor"/>
      </rPr>
      <t>Requirements CSV</t>
    </r>
    <r>
      <rPr>
        <sz val="11"/>
        <color rgb="FF000000"/>
        <rFont val="Aptos Narrow"/>
        <scheme val="minor"/>
      </rPr>
      <t xml:space="preserve"> is the authoritative source for  requirements extracted from an Implementation Guide. The </t>
    </r>
    <r>
      <rPr>
        <b/>
        <sz val="11"/>
        <color rgb="FF000000"/>
        <rFont val="Aptos Narrow"/>
        <scheme val="minor"/>
      </rPr>
      <t>Out-of-Scope Requirements List CSV</t>
    </r>
    <r>
      <rPr>
        <sz val="11"/>
        <color rgb="FF000000"/>
        <rFont val="Aptos Narrow"/>
        <scheme val="minor"/>
      </rPr>
      <t xml:space="preserve"> defines which requirements will not be tested in Inferno.
These two files will be combined with annotations within Inferno test kits indicating which tests verify which requirements to generate a</t>
    </r>
    <r>
      <rPr>
        <b/>
        <sz val="11"/>
        <color rgb="FF000000"/>
        <rFont val="Aptos Narrow"/>
        <scheme val="minor"/>
      </rPr>
      <t xml:space="preserve"> Requirement Coverage Matrix CSV</t>
    </r>
    <r>
      <rPr>
        <sz val="11"/>
        <color rgb="FF000000"/>
        <rFont val="Aptos Narrow"/>
        <scheme val="minor"/>
      </rPr>
      <t xml:space="preserve"> that details which requirements are verified and where work is still needed.
</t>
    </r>
    <r>
      <rPr>
        <b/>
        <sz val="14"/>
        <color rgb="FF000000"/>
        <rFont val="Aptos Narrow"/>
        <scheme val="minor"/>
      </rPr>
      <t xml:space="preserve">Filename and Requirement Set ID
</t>
    </r>
    <r>
      <rPr>
        <sz val="11"/>
        <color rgb="FF000000"/>
        <rFont val="Aptos Narrow"/>
        <scheme val="minor"/>
      </rPr>
      <t xml:space="preserve">
This document will be named using an official identifier for the requirement set (Requirement Set Id) with the suffix "_reqs".
To find the Requirement Set Id for an IG, scroll to the footer on the IG page and copy the identifier that looks like "hl7.fhir.us.davinci-drug-formulary#2.0.1". Then, replace the "#" with an underscore.
For example, the Requirement Set Id name for  the Da Vinci Drug Formulary v2.0.1 would be  "hl7.fhir.us.davinci-drug-formulary_2.0.1" and the excel file name would be "hl7.fhir.us.davinci-drug-formulary_2.0.1_reqs.xslx". 
This requirement set will also be used as the namespace for referencing requirements from this document and will be defined in the Metadata tab under "Id"</t>
    </r>
  </si>
  <si>
    <r>
      <rPr>
        <b/>
        <sz val="14"/>
        <color theme="1"/>
        <rFont val="Aptos Narrow (Body)"/>
      </rPr>
      <t>Exporting to CSVs</t>
    </r>
    <r>
      <rPr>
        <b/>
        <sz val="11"/>
        <color theme="1"/>
        <rFont val="Aptos Narrow"/>
        <scheme val="minor"/>
      </rPr>
      <t xml:space="preserve">
</t>
    </r>
    <r>
      <rPr>
        <sz val="11"/>
        <color theme="1"/>
        <rFont val="Aptos Narrow"/>
        <scheme val="minor"/>
      </rPr>
      <t>To export data from this sheet into the Requirements List CSV  and Out-of-Scope Requirements List CSV files, follow the instructions in the "</t>
    </r>
    <r>
      <rPr>
        <i/>
        <sz val="11"/>
        <color theme="1"/>
        <rFont val="Aptos Narrow"/>
        <scheme val="minor"/>
      </rPr>
      <t>Converting the template to source-controlled artifacts</t>
    </r>
    <r>
      <rPr>
        <sz val="11"/>
        <color theme="1"/>
        <rFont val="Aptos Narrow"/>
        <scheme val="minor"/>
      </rPr>
      <t xml:space="preserve">" section of the Requirements and Traceability guide located here: https://mitre.sharepoint.com/:f:/r/sites/Inferno/Shared%20Documents/Testing%20and%20Development/Requirements%20Gathering?csf=1&amp;web=1&amp;e=8aTIeB
</t>
    </r>
  </si>
  <si>
    <r>
      <rPr>
        <b/>
        <sz val="14"/>
        <color rgb="FF000000"/>
        <rFont val="Aptos Narrow (Body)"/>
      </rPr>
      <t>Extracting and Recording Requirements</t>
    </r>
    <r>
      <rPr>
        <b/>
        <sz val="12"/>
        <color rgb="FF000000"/>
        <rFont val="Aptos Narrow"/>
        <scheme val="minor"/>
      </rPr>
      <t xml:space="preserve">
</t>
    </r>
    <r>
      <rPr>
        <sz val="11"/>
        <color rgb="FF000000"/>
        <rFont val="Aptos Narrow"/>
        <scheme val="minor"/>
      </rPr>
      <t xml:space="preserve">
Extracting requirements from an IG is a necessary step towards creating a complete test kit and enabling traceability between tests and the requirements they are testing.
Extracting requirements from an IG is challenging. The requirements are often in a narrative context, use unclear language, and do not have an associated identifier. Details on breaking up compound requirements and clarifying the language for a requirement is included in </t>
    </r>
    <r>
      <rPr>
        <b/>
        <sz val="11"/>
        <color rgb="FF000000"/>
        <rFont val="Aptos Narrow"/>
        <scheme val="minor"/>
      </rPr>
      <t>Further Considerations</t>
    </r>
    <r>
      <rPr>
        <sz val="11"/>
        <color rgb="FF000000"/>
        <rFont val="Aptos Narrow"/>
        <scheme val="minor"/>
      </rPr>
      <t xml:space="preserve"> below.</t>
    </r>
  </si>
  <si>
    <r>
      <t xml:space="preserve">Exported Columns
Columns that get exported to the </t>
    </r>
    <r>
      <rPr>
        <b/>
        <sz val="11"/>
        <color rgb="FF000000"/>
        <rFont val="Aptos Narrow"/>
        <scheme val="minor"/>
      </rPr>
      <t xml:space="preserve">Requirements List CSV </t>
    </r>
    <r>
      <rPr>
        <sz val="11"/>
        <color rgb="FF000000"/>
        <rFont val="Aptos Narrow"/>
        <scheme val="minor"/>
      </rPr>
      <t>file are yellow. Many of these values map to elements within the R5 Requirements element. Columns that get exported into the</t>
    </r>
    <r>
      <rPr>
        <b/>
        <sz val="11"/>
        <color rgb="FF000000"/>
        <rFont val="Aptos Narrow"/>
        <scheme val="minor"/>
      </rPr>
      <t xml:space="preserve"> Out-of-Scope Requirements List CSV </t>
    </r>
    <r>
      <rPr>
        <sz val="11"/>
        <color rgb="FF000000"/>
        <rFont val="Aptos Narrow"/>
        <scheme val="minor"/>
      </rPr>
      <t xml:space="preserve"> file are orange. Do not remove, rename, or reorder these columns.
</t>
    </r>
    <r>
      <rPr>
        <b/>
        <sz val="11"/>
        <color rgb="FF000000"/>
        <rFont val="Aptos Narrow"/>
        <scheme val="minor"/>
      </rPr>
      <t xml:space="preserve">Required Columns
</t>
    </r>
    <r>
      <rPr>
        <sz val="11"/>
        <color rgb="FF000000"/>
        <rFont val="Aptos Narrow"/>
        <scheme val="minor"/>
      </rPr>
      <t>Required columns are denoted with an `*` in the column name.
You must populate required columns.</t>
    </r>
  </si>
  <si>
    <r>
      <rPr>
        <b/>
        <sz val="14"/>
        <color theme="1"/>
        <rFont val="Aptos Narrow (Body)"/>
      </rPr>
      <t>Auto-Generated Columns</t>
    </r>
    <r>
      <rPr>
        <b/>
        <sz val="11"/>
        <color theme="1"/>
        <rFont val="Aptos Narrow"/>
        <scheme val="minor"/>
      </rPr>
      <t xml:space="preserve">
</t>
    </r>
    <r>
      <rPr>
        <sz val="11"/>
        <color theme="1"/>
        <rFont val="Aptos Narrow"/>
        <scheme val="minor"/>
      </rPr>
      <t>Auto-Generated columns are blue.</t>
    </r>
    <r>
      <rPr>
        <b/>
        <sz val="11"/>
        <color theme="1"/>
        <rFont val="Aptos Narrow"/>
        <scheme val="minor"/>
      </rPr>
      <t xml:space="preserve">
</t>
    </r>
    <r>
      <rPr>
        <sz val="11"/>
        <color theme="1"/>
        <rFont val="Aptos Narrow"/>
        <scheme val="minor"/>
      </rPr>
      <t xml:space="preserve">Auto-Generated columns are populated based on information from the required columns.
</t>
    </r>
    <r>
      <rPr>
        <b/>
        <sz val="11"/>
        <color theme="1"/>
        <rFont val="Aptos Narrow"/>
        <scheme val="minor"/>
      </rPr>
      <t>Page</t>
    </r>
    <r>
      <rPr>
        <sz val="11"/>
        <color theme="1"/>
        <rFont val="Aptos Narrow"/>
        <scheme val="minor"/>
      </rPr>
      <t xml:space="preserve">
The page the requirement came from, extracted from the URL.
</t>
    </r>
    <r>
      <rPr>
        <b/>
        <sz val="11"/>
        <color theme="1"/>
        <rFont val="Aptos Narrow"/>
        <scheme val="minor"/>
      </rPr>
      <t>Section</t>
    </r>
    <r>
      <rPr>
        <sz val="11"/>
        <color theme="1"/>
        <rFont val="Aptos Narrow"/>
        <scheme val="minor"/>
      </rPr>
      <t xml:space="preserve">
The section the requirement came from, extracted from the URL.
</t>
    </r>
  </si>
  <si>
    <r>
      <rPr>
        <b/>
        <sz val="14"/>
        <color rgb="FF000000"/>
        <rFont val="Aptos Narrow (Body)"/>
      </rPr>
      <t>Helper Columns</t>
    </r>
    <r>
      <rPr>
        <b/>
        <sz val="11"/>
        <color rgb="FF000000"/>
        <rFont val="Aptos Narrow"/>
        <scheme val="minor"/>
      </rPr>
      <t xml:space="preserve">
</t>
    </r>
    <r>
      <rPr>
        <sz val="11"/>
        <color rgb="FF000000"/>
        <rFont val="Aptos Narrow"/>
        <scheme val="minor"/>
      </rPr>
      <t xml:space="preserve">
Helper columns are green and are meant to help you, the developer, write tests that align to the requirements. Modify, ignore, or delete as needed
</t>
    </r>
    <r>
      <rPr>
        <b/>
        <sz val="11"/>
        <color rgb="FF000000"/>
        <rFont val="Aptos Narrow"/>
        <scheme val="minor"/>
      </rPr>
      <t xml:space="preserve">Conditionality Description
</t>
    </r>
    <r>
      <rPr>
        <sz val="11"/>
        <color rgb="FF000000"/>
        <rFont val="Aptos Narrow"/>
        <scheme val="minor"/>
      </rPr>
      <t xml:space="preserve">If the requirement is conditional, detail on when it is in force.
</t>
    </r>
    <r>
      <rPr>
        <b/>
        <sz val="11"/>
        <color rgb="FF000000"/>
        <rFont val="Aptos Narrow"/>
        <scheme val="minor"/>
      </rPr>
      <t xml:space="preserve">Section #
</t>
    </r>
    <r>
      <rPr>
        <sz val="11"/>
        <color rgb="FF000000"/>
        <rFont val="Aptos Narrow"/>
        <scheme val="minor"/>
      </rPr>
      <t xml:space="preserve">Section number for the section of the IG the requirement comes from. Can be helpful for sorting and putting related / close-by sections together.
</t>
    </r>
    <r>
      <rPr>
        <b/>
        <sz val="11"/>
        <color rgb="FF000000"/>
        <rFont val="Aptos Narrow"/>
        <scheme val="minor"/>
      </rPr>
      <t xml:space="preserve">Group
</t>
    </r>
    <r>
      <rPr>
        <sz val="11"/>
        <color rgb="FF000000"/>
        <rFont val="Aptos Narrow"/>
        <scheme val="minor"/>
      </rPr>
      <t xml:space="preserve">Any label you like to help organize the requirements to make test development easier.
</t>
    </r>
    <r>
      <rPr>
        <b/>
        <sz val="11"/>
        <color rgb="FF000000"/>
        <rFont val="Aptos Narrow"/>
        <scheme val="minor"/>
      </rPr>
      <t xml:space="preserve">Priority
</t>
    </r>
    <r>
      <rPr>
        <sz val="11"/>
        <color rgb="FF000000"/>
        <rFont val="Aptos Narrow"/>
        <scheme val="minor"/>
      </rPr>
      <t xml:space="preserve">The relative priority of testing this requirement versus the other requirements. Helpful for determining what requirement tests to drop if time constraints become an issue.
</t>
    </r>
    <r>
      <rPr>
        <b/>
        <sz val="11"/>
        <color rgb="FF000000"/>
        <rFont val="Aptos Narrow"/>
        <scheme val="minor"/>
      </rPr>
      <t xml:space="preserve">Test Plan
</t>
    </r>
    <r>
      <rPr>
        <sz val="11"/>
        <color rgb="FF000000"/>
        <rFont val="Aptos Narrow"/>
        <scheme val="minor"/>
      </rPr>
      <t xml:space="preserve">A high level outline of how Inferno will test the requirement.
</t>
    </r>
    <r>
      <rPr>
        <b/>
        <sz val="11"/>
        <color rgb="FF000000"/>
        <rFont val="Aptos Narrow"/>
        <scheme val="minor"/>
      </rPr>
      <t xml:space="preserve">Questions
</t>
    </r>
    <r>
      <rPr>
        <sz val="11"/>
        <color rgb="FF000000"/>
        <rFont val="Aptos Narrow"/>
        <scheme val="minor"/>
      </rPr>
      <t xml:space="preserve">Any questions you have about the requirement.
</t>
    </r>
    <r>
      <rPr>
        <b/>
        <sz val="11"/>
        <color rgb="FF000000"/>
        <rFont val="Aptos Narrow"/>
        <scheme val="minor"/>
      </rPr>
      <t xml:space="preserve">Notes
</t>
    </r>
    <r>
      <rPr>
        <sz val="11"/>
        <color rgb="FF000000"/>
        <rFont val="Aptos Narrow"/>
        <scheme val="minor"/>
      </rPr>
      <t>Miscellaneous details without another place (e.g., why a requirement was deprecated)</t>
    </r>
  </si>
  <si>
    <r>
      <rPr>
        <b/>
        <sz val="14"/>
        <color theme="1"/>
        <rFont val="Aptos Narrow (Body)"/>
      </rPr>
      <t>Further considerations</t>
    </r>
    <r>
      <rPr>
        <sz val="11"/>
        <color theme="1"/>
        <rFont val="Aptos Narrow"/>
        <scheme val="minor"/>
      </rPr>
      <t xml:space="preserve">
</t>
    </r>
    <r>
      <rPr>
        <b/>
        <sz val="11"/>
        <color theme="1"/>
        <rFont val="Aptos Narrow"/>
        <scheme val="minor"/>
      </rPr>
      <t>How to handle compound requirements</t>
    </r>
    <r>
      <rPr>
        <sz val="11"/>
        <color theme="1"/>
        <rFont val="Aptos Narrow"/>
        <scheme val="minor"/>
      </rPr>
      <t xml:space="preserve">
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
</t>
    </r>
    <r>
      <rPr>
        <b/>
        <sz val="11"/>
        <color theme="1"/>
        <rFont val="Aptos Narrow"/>
        <scheme val="minor"/>
      </rPr>
      <t xml:space="preserve">How to handle removing a requirement
</t>
    </r>
    <r>
      <rPr>
        <sz val="11"/>
        <color theme="1"/>
        <rFont val="Aptos Narrow"/>
        <scheme val="minor"/>
      </rPr>
      <t xml:space="preserve">If after release of the requirements artifact, if a requirement must be removed for some reason, its ID must be retired. To remove a requirement and indicate that the ID is retired, set the </t>
    </r>
    <r>
      <rPr>
        <b/>
        <sz val="11"/>
        <color theme="1"/>
        <rFont val="Aptos Narrow"/>
        <scheme val="minor"/>
      </rPr>
      <t>Conformance</t>
    </r>
    <r>
      <rPr>
        <sz val="11"/>
        <color theme="1"/>
        <rFont val="Aptos Narrow"/>
        <scheme val="minor"/>
      </rPr>
      <t xml:space="preserve"> column to DEPRECATED. Note that release may include the start of development of a test kit where requirement IDs have been mapped to tests as ensuring they are up to date with respect to the new requirement Ids may be tricky.
</t>
    </r>
    <r>
      <rPr>
        <b/>
        <sz val="11"/>
        <color theme="1"/>
        <rFont val="Aptos Narrow"/>
        <scheme val="minor"/>
      </rPr>
      <t>NOTE:</t>
    </r>
    <r>
      <rPr>
        <sz val="11"/>
        <color theme="1"/>
        <rFont val="Aptos Narrow"/>
        <scheme val="minor"/>
      </rPr>
      <t xml:space="preserve"> This is only necessary after release / use of the IDs within a test kit. Feel free to remove requirements, change IDs, etc., prior to this point.</t>
    </r>
  </si>
  <si>
    <t>ID*</t>
  </si>
  <si>
    <t>URL*</t>
  </si>
  <si>
    <t>Requirement*</t>
  </si>
  <si>
    <t>Conformance*</t>
  </si>
  <si>
    <t>Sub-Requirement(s)</t>
  </si>
  <si>
    <t>Conditionality</t>
  </si>
  <si>
    <t>Conditionality Details</t>
  </si>
  <si>
    <t>Verifiable?</t>
  </si>
  <si>
    <t>Verifiability Details</t>
  </si>
  <si>
    <t>Planning To Test?</t>
  </si>
  <si>
    <t>Planning To Test Details</t>
  </si>
  <si>
    <t>Page</t>
  </si>
  <si>
    <t>Section</t>
  </si>
  <si>
    <t>Verb Guess</t>
  </si>
  <si>
    <t>Actor Guess</t>
  </si>
  <si>
    <t>Section #</t>
  </si>
  <si>
    <t>Grouping</t>
  </si>
  <si>
    <t>Priority</t>
  </si>
  <si>
    <t>Test Plan</t>
  </si>
  <si>
    <t>Questions</t>
  </si>
  <si>
    <t>Notes</t>
  </si>
  <si>
    <t>https://hl7.org/fhir/us/udap-security/STU1/#general-requirements-and-serialization</t>
  </si>
  <si>
    <t>All JSON Web Tokens (JWTs) defined in this [UDAP] guide: SHALL conform to the mandatory requirements of [RFC 7519](https://datatracker.ietf.org/doc/html/rfc7519).</t>
  </si>
  <si>
    <t>SHALL</t>
  </si>
  <si>
    <t>Server, Client</t>
  </si>
  <si>
    <t>All JSON Web Tokens (JWTs) defined in this [UDAP] guide: ... SHALL be JSON Web Signatures conforming to the mandatory requirements of [RFC 7515](https://datatracker.ietf.org/doc/html/rfc7515).</t>
  </si>
  <si>
    <t>All JSON Web Tokens (JWTs) defined in this [UDAP] guide: ... SHALL be serialized using JWS Compact Serialization as per [Section 7.1](https://datatracker.ietf.org/doc/html/rfc7515#section-7.1) of RFC 7515.</t>
  </si>
  <si>
    <t>https://hl7.org/fhir/us/udap-security/STU1/#signature-algorithm-identifiers</t>
  </si>
  <si>
    <t>Implementations supporting the UDAP workflows defined in this guide **SHALL** support `RS256` [as defined in [RFC 7518](https://datatracker.ietf.org/doc/html/rfc7518#section-3.1)].</t>
  </si>
  <si>
    <t>Implementations **SHOULD** support `ES256`[as defined in [RFC 7518](https://datatracker.ietf.org/doc/html/rfc7518#section-3.1)]</t>
  </si>
  <si>
    <t>SHOULD</t>
  </si>
  <si>
    <t>[Implementations] **MAY** support `ES384` and/or `RS384` [as defined in [RFC 7518](https://datatracker.ietf.org/doc/html/rfc7518#section-3.1)].</t>
  </si>
  <si>
    <t>MAY</t>
  </si>
  <si>
    <t>https://hl7.org/fhir/us/udap-security/STU1/#jwt-headers</t>
  </si>
  <si>
    <t xml:space="preserve">All JWTs defined in this [UDAP] guide SHALL contain a Javascript Object Signing and Encryption (JOSE) header as defined in [Section 4](https://datatracker.ietf.org/doc/html/rfc7515#section-4) of RFC 7515 [where] JWT header value`alg` [is] `required`A string identifying the signature algorithm used to sign the JWT </t>
  </si>
  <si>
    <t>All JWTs defined in this [UDAP] guide SHALL contain a Javascript Object Signing and Encryption (JOSE) header as defined in [Section 4](https://datatracker.ietf.org/doc/html/rfc7515#section-4) of RFC 7515 [where] JWT header value `x5c`[is] `required`.  An array of one or more strings containing the X.509 certificate or certificate chain, where the leaf certificate corresponds to the key used to digitally sign the JWT. Each string in the array is the base64-encoded DER representation of the corresponding certificate, with the leaf certificate appearing as the first (or only) element of the array.</t>
  </si>
  <si>
    <t>https://hl7.org/fhir/us/udap-security/STU1/discovery.html#discovery-of-endpoints</t>
  </si>
  <si>
    <t>A FHIR Server **SHALL** make its Authorization Server’s authorization ... endpoints ... available for discovery by client applications.</t>
  </si>
  <si>
    <t>Server</t>
  </si>
  <si>
    <t xml:space="preserve">
A FHIR Server **SHALL** make its Authorization Server’s ... token ... endpoints ... available for discovery by client applications.</t>
  </si>
  <si>
    <t xml:space="preserve">
A FHIR Server **SHALL** make its Authorization Server’s ... registration endpoints ... available for discovery by client applications.</t>
  </si>
  <si>
    <t>A FHIR Server **SHALL** make its Authorization Server’s ... associated metadata available for discovery by client applications.</t>
  </si>
  <si>
    <t xml:space="preserve">
Servers **SHALL** allow access to the following metadata URL to unregistered client applications ..., where {baseURL} represents the base FHIR URL for the FHIR server: {baseURL}/.well-known/udap</t>
  </si>
  <si>
    <t>Servers **SHALL** allow access to the following metadata URL ... without requiring client authentication, where {baseURL} represents the base FHIR URL for the FHIR server: {baseURL}/.well-known/udap</t>
  </si>
  <si>
    <t xml:space="preserve">
UDAP metadata **SHALL** be structured as a JSON object as per section 1 of [UDAP Server Metadata](https://www.udap.org/udap-server-metadata-stu1.html#section-1) and discussed further in [Section 2.2](https://hl7.org/fhir/us/udap-security/STU1/discovery.html#required-udap-metadata).</t>
  </si>
  <si>
    <t>UDAP structure is out of date compared to what's in the FHIR spec, so not linking to it</t>
  </si>
  <si>
    <t xml:space="preserve">
If a server returns a `404 Not Found` response to a `GET` request to the UDAP metadata endpoint, the client application SHOULD conclude that the server does not support UDAP workflows.</t>
  </si>
  <si>
    <t>Client</t>
  </si>
  <si>
    <t>Servers conforming to this guide are generally expected, but not required, to also support the HL7 SMART App Launch Framework, which defines additional discovery and metadata requirements.</t>
  </si>
  <si>
    <t>https://hl7.org/fhir/us/udap-security/STU1/discovery.html#required-udap-metadata</t>
  </si>
  <si>
    <t>The metadata returned from the UDAP metadata endpoint … SHALL represent the server’s capabilities with respect to the UDAP workflows described in this guide.</t>
  </si>
  <si>
    <t xml:space="preserve">
If no UDAP workflows are supported, the server SHALL return a `404 Not Found` response to the metadata request.</t>
  </si>
  <si>
    <t>For elements that are represented by JSON arrays, clients SHALL interpret an empty array value to mean that the corresponding capability is NOT supported by the server.</t>
  </si>
  <si>
    <t>[F]or the workflows defined in this guide, client applications SHALL use the applicable values returned in a server’s UDAP metadata.</t>
  </si>
  <si>
    <t>[When returning UDAP metadata, the] `udap_versions_supported` [element is] required [and SHALL be] A fixed array with one string element: ["1"]</t>
  </si>
  <si>
    <t>[When returning UDAP metadata, the] `udap_profiles_supported` [element is] required
[and SHALL contain a]n array of two or more strings identifying the core UDAP profiles supported by the Authorization Server.</t>
  </si>
  <si>
    <t xml:space="preserve"> [When returning UDAP metadata, the] `udap_profiles_supported` [element] array SHALL include ... "udap_dcr" … [when the server supports] UDAP Dynamic Client Registration</t>
  </si>
  <si>
    <t>If the server supports UDAP Dynamic Client Registration</t>
  </si>
  <si>
    <t xml:space="preserve"> [When returning UDAP metadata, the] `udap_profiles_supported` [element] array SHALL include ... "udap_authn" … [when the server supports] UDAP JWT-Based Client Authentication</t>
  </si>
  <si>
    <t>If the server supports UDAP JWT-Based Client Authentication</t>
  </si>
  <si>
    <t xml:space="preserve"> [When returning UDAP metadata] `udap_profiles_supported` [element]... 
If the `grant_types_supported` parameter includes the string `"client_credentials"`, then the array SHALL also include:
`"udap_authz"` for UDAP Client Authorization Grants using JSON Web Tokens to indicate support for Authorization Extension Objects. </t>
  </si>
  <si>
    <t>If the grant_types_supported parameter includes the string "client_credentials"</t>
  </si>
  <si>
    <t xml:space="preserve">
 [When returning UDAP metadata] `udap_profiles_supported` [element]... 
If the server supports the user authentication workflow described in [Section 6](https://hl7.org/fhir/us/udap-security/STU1/user.html#tiered-oauth-for-user-authentication), then the array SHALL also include: `"udap_to"` for UDAP Tiered OAuth for User Authentication. </t>
  </si>
  <si>
    <t xml:space="preserve">If the server supports the user authentication workflow described in [Section 6](https://hl7.org/fhir/us/udap-security/STU1/user.html#tiered-oauth-for-user-authentication), </t>
  </si>
  <si>
    <t>[When returning UDAP metadata, the] `udap_authorization_extensions_supported` [element is] required [and SHALL contain a]n array of zero or more recognized key names for Authorization Extension Objects supported by the Authorization Server.</t>
  </si>
  <si>
    <t xml:space="preserve">If the Authorization Server supports the B2B Authorization Extension Object defined in Section [5.2.1.1](https://hl7.org/fhir/us/udap-security/STU1/b2b.html#b2b-authorization-extension-object), then the ... `["hl7-b2b"]` key name SHALL be included [in the `udap_authorization_extensions_supported` element of the server's UDAP metadata].
</t>
  </si>
  <si>
    <t xml:space="preserve">[When returning UDAP metadata, the] `udap_authorization_extensions_required` [element SHALL contain when populated a]n array of zero or more recognized key names for Authorization Extension Objects required by the Authorization Server in every token request. </t>
  </si>
  <si>
    <t>[When returning UDAP metadata, the] `udap_authorization_extensions_required` [element] SHALL be present if the value of the `udap_authorization_extensions_supported` parameter is not an empty array.</t>
  </si>
  <si>
    <t>If the Authorization Server requires the B2B Authorization Extension Object defined in [Section 5.2.1.1](https://hl7.org/fhir/us/udap-security/STU1/b2b.html#b2b-authorization-extension-object) in every token request, then the following key name SHALL be included [in the `udap_authorization_extensions_required`list]:
`["hl7-b2b"]`</t>
  </si>
  <si>
    <t xml:space="preserve">[When returning UDAP metadata, the] `udap_certifications_supported` [element is] required [and SHALL contain a]n array of zero or more certification URIs supported by the Authorization Server, e.g.: `["https://www.example.com/udap/profiles/example-certification"]`
</t>
  </si>
  <si>
    <t>[When returning UDAP metadata, the] `udap_certifications_required` [element SHALL contain when populated a]n array of zero or more certification URIs required by the Authorization Server.</t>
  </si>
  <si>
    <t>[When returning UDAP metadata, the] `udap_certifications_required` … parameter SHALL be present if the value of the `udap_certifications_supported` parameter is not an empty array.</t>
  </si>
  <si>
    <t>[When returning UDAP metadata, the] `grant_types_supported` [element is] required [and SHALL contain] an array of one or more grant types supported by the Authorization Server, e.g.:
["authorization_code", "refresh_token",  "client_credentials"].</t>
  </si>
  <si>
    <t>The `"refresh_token"` grant type SHALL only be included [in the `grant_types_supported` element of the server metadata] if the `"authorization_code"` grant type is also included.</t>
  </si>
  <si>
    <t>[When returning UDAP metadata, the] `authorization_endpoint` [element SHALL contain when populated a] string containing the absolute URL of the Authorization Server's authorization endpoint.</t>
  </si>
  <si>
    <t>if the `authorization_endpoint` is populated</t>
  </si>
  <si>
    <t>[When returning UDAP metadata, the] `authorization_endpoint` … SHALL be present if the value of the `grant_types_supported` parameter includes the string `"authorization_code"`</t>
  </si>
  <si>
    <t>if the `grant_types_supported` parameter includes the string `"authorization_code"`</t>
  </si>
  <si>
    <t>[When returning UDAP metadata, the] `token_endpoint` [element is] required [and SHALL contain a] string containing the absolute URL of the Authorization Server's token endpoint for UDAP JWT-Based Client Authentication.</t>
  </si>
  <si>
    <t>[When returning UDAP metadata, the] `token_endpoint_auth_methods_supported` [element is] required [and SHALL contain a f]ixed array with one value: ["private_key_jwt"]</t>
  </si>
  <si>
    <t>[When returning UDAP metadata, the] `token_endpoint_auth_signing_alg_values_supported` [element is] required [and SHALL contain an a]rray of strings identifying one or more signature algorithms supported by the Authorization Server for validation of signed JWTs submitted to the token endpoint for client authentication.</t>
  </si>
  <si>
    <t>[When returning UDAP metadata, the] `registration_endpoint` [element is] required [and SHALL contain a] string containing the absolute URL of the Authorization Server's registration endpoint.</t>
  </si>
  <si>
    <t>[When returning UDAP metadata, the] `registration_endpoint_jwt_signing_alg_values_supported` [element is] recommended [to be populated].</t>
  </si>
  <si>
    <t>[When returning UDAP metadata, the] `registration_endpoint_jwt_signing_alg_values_supported` [element SHALL contain when populated an a]rray of strings identifying one or more signature algorithms supported by the Authorization Server for validation of signed software statements, certification, and endorsements submitted to the registration endpoint.</t>
  </si>
  <si>
    <t>If registration_endpoint_jwt_signing_alg_values_supported is populated.</t>
  </si>
  <si>
    <t>[When returning UDAP metadata, the] `signed_metadata` [element is] required [which SHALL contain] A string containing a JWT listing the server's endpoints</t>
  </si>
  <si>
    <t>https://hl7.org/fhir/us/udap-security/STU1/discovery.html#signed-metadata-elements</t>
  </si>
  <si>
    <t>A server’s UDAP metadata SHALL include the signed_metadata element.</t>
  </si>
  <si>
    <t>[The JWT in the signed_metadata element SHALL contain the claim] `iss` [that is the i]ssuer of the JWT -- unique identifying server URI. This SHALL match the value of a uniformResourceIdentifier entry in the Subject Alternative Name extension of the server's certificate included in the `x5c` JWT header, and SHALL be equal to the server's {baseURL}</t>
  </si>
  <si>
    <t>[The `iss` claim of the JWT in the signed_metadata element] SHALL match the value of a uniformResourceIdentifier entry in the Subject Alternative Name extension of the server's certificate included in the `x5c` JWT header</t>
  </si>
  <si>
    <t>[The `iss` claim of the JWT in the signed_metadata element] SHALL be equal to the server's {baseURL}</t>
  </si>
  <si>
    <t>[The JWT in the signed_metadata element SHALL contain the claim] `sub` [that is the] same as `iss`.</t>
  </si>
  <si>
    <t>[The JWT in the signed_metadata element SHALL contain the claim] `exp` [that is the] expiration time integer for this JWT, expressed in seconds since the "Epoch" (1970-01-01T00:00:00Z UTC).</t>
  </si>
  <si>
    <t>The exp time [in the Server's signed JWT] SHALL be no more than 1 year after the value of the iat claim.</t>
  </si>
  <si>
    <t>[The JWT in the signed_metadata element SHALL contain the claim] `iat` [that is the] Issued time integer for this JWT, expressed in seconds since the "Epoch"</t>
  </si>
  <si>
    <t>[The JWT in the signed_metadata element SHALL contain the claim] `jti` [that is a] nonce string value that uniquely identifies this JWT.</t>
  </si>
  <si>
    <t>This [`jti`] value [in the Server's signed JWT] SHALL NOT be reused by the server in another JWT before the time specified in the exp claim has passed</t>
  </si>
  <si>
    <t>[In the JWT in the signed_metadata element SHALL contain, the claim] `authorization_endpoint`[is] REQUIRED if the authorization_endpoint parameter is included in the unsigned metadata</t>
  </si>
  <si>
    <t>[The JWT in the signed_metadata element SHALL contain the claim] `token_endpoint`[which is a] string containing the absolute URL of the server's token endpoint</t>
  </si>
  <si>
    <t>[The JWT in the signed_metadata element SHALL contain the claim]  `registration_endpoint`[which is a] string containing the absolute URL of the server's registration endpoint</t>
  </si>
  <si>
    <t>https://hl7.org/fhir/us/udap-security/STU1/discovery.html#multiple-trust-communities</t>
  </si>
  <si>
    <t>[A] client application MAY add the optional query parameter `community` to the metadata request URL described in [Section 2.1](https://hl7.org/fhir/us/udap-security/STU1/discovery.html#discovery-of-endpoints) to indicate that it trusts certificates issued by the community identified by the parameter value.</t>
  </si>
  <si>
    <t>[when a client adds the query parameter `community`] The value of the parameter SHALL be a URI as determined by the trust community for this purpose.</t>
  </si>
  <si>
    <t xml:space="preserve">If a server supports [the `community`] parameter and recognizes the URI value, it SHALL select a certificate intended for use within the identified trust community, if it has been issued such a certificate, and use that certificate when generating the signed JWT returned for the `signed_metadata` element. </t>
  </si>
  <si>
    <t>If a server supports different UDAP capabilities for different communities, it MAY also return different values for other metadata elements described in [Section 2.2](https://hl7.org/fhir/us/udap-security/STU1/discovery.html#required-udap-metadata) as appropriate for the identified community.</t>
  </si>
  <si>
    <t>If the server does not recognize the community URI or does not have a suitable certificate for the identified community, it MAY return a `404 Not Found` response to the metadata request to indicate that no UDAP workflows are supported by server in the context of that community, or it MAY return its default metadata, i.e. the metadata that it would have returned if the community parameter was not included in the request.</t>
  </si>
  <si>
    <t>If the server does not recognize the community URI or does not have a suitable certificate for the identified community, ..  it MAY return its default metadata, i.e. the metadata that it would have returned if the community parameter was not included in the request.</t>
  </si>
  <si>
    <t>https://hl7.org/fhir/us/udap-security/STU1/registration.html#registration</t>
  </si>
  <si>
    <t xml:space="preserve">Before FHIR data requests can be made, Client application operators SHALL register each of their applications with the Authorization Servers identified by the FHIR servers with which they wish to exchange data. </t>
  </si>
  <si>
    <t>Client applications SHALL use the client_id assigned by an Authorization Server in subsequent authorization and token requests to that server.</t>
  </si>
  <si>
    <t>Authorization Servers SHALL support dynamic registration as specified in the [UDAP Dynamic Client Registration](https://www.udap.org/udap-dynamic-client-registration-stu1.html) profile with the additional options and constraints defined in this guide.</t>
  </si>
  <si>
    <t>Confidential clients that can secure a secret MAY use this dynamic client registration protocol as discussed further below to obtain a `client_id`</t>
  </si>
  <si>
    <t>Other [non-Confidential] client types SHOULD follow the manual registration processes for each Authorization Server.</t>
  </si>
  <si>
    <t>To register dynamically, the client application first [SHALL] construct ... a software statement as per [section 2](https://www.udap.org/udap-dynamic-client-registration-stu1.html#section-2) of UDAP Dynamic Client Registration.</t>
  </si>
  <si>
    <t>https://hl7.org/fhir/us/udap-security/STU1/registration.html#software-statement</t>
  </si>
  <si>
    <t>The software statement [sent during dynamic registration] SHALL contain the required header elements specified in [Section 1.2.3](https://hl7.org/fhir/us/udap-security/STU1/index.html#jwt-headers) of this guide</t>
  </si>
  <si>
    <t>hl7.fhir.us.udap-security_1.0.0@7,8</t>
  </si>
  <si>
    <t>The software statement [sent during dynamic registration] SHALL be signed by the client application operator using the signature algorithm identified in the `alg` header of the software statement</t>
  </si>
  <si>
    <t>The software statement [sent during dynamic registration] SHALL be signed by the client application operator using ... the private key that corresponds to the public key listed in the client’s X.509 certificate identified in the`x5c` header of the software statement.</t>
  </si>
  <si>
    <t>[When constructing the software statement for dynamic registration t]he JWT claim `iss` [is] `required`  [and] SHALL match the value of a uniformResourceIdentifier entry in the Subject Alternative Name extension of the client's certificate included in the `x5c` JWT header</t>
  </si>
  <si>
    <t>[When constructing the software statement for dynamic registration t]he JWT claim `sub` [is] `required`[and is the s]ame as `iss`.</t>
  </si>
  <si>
    <t xml:space="preserve">[When constructing the software statement for dynamic registration t]he JWT claim `aud` [is] `required`[and is the] Authorization Server's "registration URL" </t>
  </si>
  <si>
    <t>[When constructing the software statement for dynamic registration t]he JWT claim `exp` [is] `required`[and is the] Expiration time integer for this software statement, expressed in seconds since the "Epoch" (1970-01-01T00:00:00Z UTC). The exp time SHALL be no more than 5 minutes after the value of the iat claim.</t>
  </si>
  <si>
    <t>[When constructing the software statement for dynamic registration t]he JWT claim `exp`... SHALL be no more than 5 minutes after the value of the `iat` claim.</t>
  </si>
  <si>
    <t>[When constructing the software statement  for dynamic registration t]he JWT claim `iat` [is] `required`[and is the] Issued time integer for this software statement, expressed in seconds since the "Epoch"</t>
  </si>
  <si>
    <t>[When constructing the software statement  for dynamic registration t]he JWT claim `jti` [is] `required`[and is a] nonce string value that uniquely identifies this software statement.</t>
  </si>
  <si>
    <t>[When constructing the software statement  for dynamic registration t]he JWT claim `jti` SHALL NOT be reused by the client app in another software statement or authentication JWT before the time specified in the `exp` claim has passed</t>
  </si>
  <si>
    <t>[When constructing the software statement for dynamic registration t]he JWT claim `client_name` [is] `required`[and is a] string containing the human readable name of the client application</t>
  </si>
  <si>
    <t>[When constructing the software statement for dynamic registration t]he JWT claim `redirect_uris` … SHALL be present if grant_types includes `authorization_code`</t>
  </si>
  <si>
    <t xml:space="preserve">[When constructing the software statement for dynamic registration t]he JWT claim `redirect_uris` … SHALL be absent [if the `grant_types` claim does not include `authorization_code`]. </t>
  </si>
  <si>
    <t>[When constructing the software statement for dynamic registration t]he JWT claim `contacts` [is] `required`[and is the ] array of URI strings indicating how the data holder can contact the app operator regarding the application.</t>
  </si>
  <si>
    <t>[When constructing the software statement for dynamic registration t]he JWT claim `contacts` … SHALL contain at least one valid email address using the mailto scheme</t>
  </si>
  <si>
    <t>[When constructing the software statement for dynamic registration and populating t]he JWT claim `logo_uri`... If `grant_types` includes "authorization_code", client applications SHALL include this field</t>
  </si>
  <si>
    <t>Authorization Server[s] MAY display this logo [provided in the `logo_uri` claim of a registered software statement for a client] to the user during the authorization process.</t>
  </si>
  <si>
    <t>[When constructing the software statement for dynamic registration and populating t]he JWT claim `logo_uri` … [t]he URL SHALL use the https scheme</t>
  </si>
  <si>
    <t>[When constructing the software statement for dynamic registration and populating t]he JWT claim `logo_uri` … [t]he URL SHALL ... reference a PNG, JPG, or GIF image file, e.g. "https://myapp.example.com/MyApp.png"</t>
  </si>
  <si>
    <t>[When constructing the software statement for dynamic registration t]he JWT claim `grant_types` [is] `required`[and SHALL include either "authorization_code" or "client_credentials" but not both. The value "refresh_token" SHALL NOT be present in the array unless "authorization_code" is also present.</t>
  </si>
  <si>
    <t>[When constructing the software statement for dynamic registration t]he JWT claim `response_types` [SHALL be present i]f `grant_types` contains "authorization_code"</t>
  </si>
  <si>
    <t xml:space="preserve">[When constructing the software statement for dynamic registration t]he JWT claim `response_types` ... SHALL have a fixed value of `["code"]` [when populated]. </t>
  </si>
  <si>
    <t xml:space="preserve">[When constructing the software statement for dynamic registration t]he JWT claim `response_types` [i]f `grant_types` [does not] contain "authorization_code", then this element ... SHALL be omitted. </t>
  </si>
  <si>
    <t>[When constructing the software statement for dynamic registration t]he JWT claim `token_endpoint_auth_method` [is] `required` [and SHALL contain] Fixed string value: "private_key_jwt"</t>
  </si>
  <si>
    <t>[When constructing the software statement for dynamic registration t]he JWT claim `scope` [is] `required` [and SHALL contain]  a space delimited list of scopes requested by the client application for use in subsequent requests.</t>
  </si>
  <si>
    <t>The Authorization Server MAY consider this list [of scopes provided in the registration software statement] when deciding the scopes that it will allow the application to subsequently request.</t>
  </si>
  <si>
    <t>[When constructing the software statement for dynamic registration] for client apps that also support the SMART App Launch framework: apps requesting the "client_credentials" grant type SHOULD request system scopes;</t>
  </si>
  <si>
    <t>[When constructing the software statement for dynamic registration] for client apps that also support the SMART App Launch framework: ... apps requesting the "authorization_code" grant type SHOULD request user or patient scopes.</t>
  </si>
  <si>
    <t>The unique client URI used for the iss claim SHALL match the uriName entry in the Subject Alternative Name extension of the client app operator’s X.509 certificate</t>
  </si>
  <si>
    <t>The unique client URI used for the iss claim SHALL ... uniquely identify a single client app operator and application over time.</t>
  </si>
  <si>
    <t>The software statement is intended for one-time use with a single OAuth 2.0 server. As such, the `aud` claim SHALL list the URL of the OAuth Server’s registration endpoint</t>
  </si>
  <si>
    <t>The software statement is intended for one-time use with a single OAuth 2.0 server. As such, …  the lifetime of the software statement (`exp` minus `iat`) SHALL be 5 minutes.</t>
  </si>
  <si>
    <t>https://hl7.org/fhir/us/udap-security/STU1/registration.html#request-body</t>
  </si>
  <si>
    <t xml:space="preserve">The Authorization Server SHALL validate the registration request as per [Section 4](https://www.udap.org/udap-dynamic-client-registration-stu1.html#section-4) of UDAP Dynamic Client Registration. </t>
  </si>
  <si>
    <t>https://www.udap.org/udap-dynamic-client-registration-stu1.html#section-4</t>
  </si>
  <si>
    <t>[When validating a registration request t]he iss value MUST match a uriName entry in the Subject Alternative Names extension of the Client’s certificate.</t>
  </si>
  <si>
    <t>https://www.udap.org/udap-dynamic-client-registration-stu1.html#section-5</t>
  </si>
  <si>
    <t>[When validating a registration request t]he sub value MUST match the iss value</t>
  </si>
  <si>
    <t>https://www.udap.org/udap-dynamic-client-registration-stu1.html#section-6</t>
  </si>
  <si>
    <t>[When validating a registration request t]he aud value MUST contain the Authorization Server’s registration endpoint URL</t>
  </si>
  <si>
    <t>https://www.udap.org/udap-dynamic-client-registration-stu1.html#section-7</t>
  </si>
  <si>
    <t>[When validating a registration request t]he software statement MUST be unexpired</t>
  </si>
  <si>
    <t>https://www.udap.org/udap-dynamic-client-registration-stu1.html#section-5.1</t>
  </si>
  <si>
    <t>If a new registration is successful, the Authorization Server SHALL return a registration response with a `201 Created` HTTP response code as per [Section 5.1](https://www.udap.org/udap-dynamic-client-registration-stu1.html#section-5.1) of UDAP Dynamic Client Registration</t>
  </si>
  <si>
    <t>[When responding to an authorization request that has been granted] 5.1 The top-level elements of the response SHALL include the client_id issued by the Authorization Server for use by the Client App, the software statement as submitted by the Client App, and all of the registration related parameters that were included in the software statement</t>
  </si>
  <si>
    <t>[When responding to an authorization request that has been granted] 5.1 Authorization Server MUST store the certificate provided by the Client for use to validate subsequent client authentication attempts.</t>
  </si>
  <si>
    <t>If a new registration is successful, the Authorization Server SHALL return a registration response ... including the unique `client_id` assigned by the Authorization Server to that client app.</t>
  </si>
  <si>
    <t>If a new registration is not successful, e.g. it is rejected by the server for any reason, the Authorization Server SHALL return an error response as per [Section 5.2](https://www.udap.org/udap-dynamic-client-registration-stu1.html#section-5.2) of UDAP Dynamic Client Registration.</t>
  </si>
  <si>
    <t>DEPRECATED</t>
  </si>
  <si>
    <t>https://hl7.org/fhir/us/udap-security/STU1/registration.html#inclusion-of-certifications-and-endorsements</t>
  </si>
  <si>
    <t>Authorization Servers SHALL ignore unsupported or unrecognized certifications</t>
  </si>
  <si>
    <t>Authorization Servers MAY require registration requests to include one or more certifications.</t>
  </si>
  <si>
    <t>If an Authorization Server requires the inclusion of a certain certification, then the Authorization Server SHALL communicate this by including the corresponding certification URI in the `udap_certifications_required` element of its UDAP metadata.</t>
  </si>
  <si>
    <t>https://hl7.org/fhir/us/udap-security/STU1/registration.html#modifying-and-cancelling-registrations</t>
  </si>
  <si>
    <t>If an Authorization Server receives a valid registration request with a software statement containing the same `iss` value as an earlier software statement but with a different set of claims or claim values, or with a different (possibly empty) set of optional certifications and endorsements, the server SHALL treat this as a request to modify the registration parameters for the client application by replacing the information from the previous registration request with the information included in the new request.</t>
  </si>
  <si>
    <t>If the registration modification request is accepted, the Authorization Server SHOULD return the same `client_id` in the registration response as for the previous registration.</t>
  </si>
  <si>
    <t>If it returns a different `client_id` [in response to a registration modification request], it SHALL cancel the registration for the previous `client_id`.</t>
  </si>
  <si>
    <t>If an Authorization Server receives a valid registration request with a software statement that contains an empty `grant_types` array from a previously registered application, the server SHOULD interpret this as a request to cancel the previous registration.</t>
  </si>
  <si>
    <t>A client application SHALL interpret a registration response that contains an empty `grant_types`array as a confirmation that the registration for the `client_id` listed in the response has been cancelled by the Authorization Server.</t>
  </si>
  <si>
    <t>If the Authorization Server returns the same client_id in the registration response for a modification request, it SHOULD also return a `200 OK` HTTP response code.</t>
  </si>
  <si>
    <t>If the Authorization Server returns a new `client_id` in the registration response, the client application SHALL use only the new `client_id` in subsequent transactions with the Authorization Server.</t>
  </si>
  <si>
    <t>https://hl7.org/fhir/us/udap-security/STU1/consumer.html#consumer-facing</t>
  </si>
  <si>
    <t>Consumer-facing client applications SHALL obtain an access token for access to FHIR resources by following the OAuth 2.0 authorization code grant flow,</t>
  </si>
  <si>
    <t>https://hl7.org/fhir/us/udap-security/STU1/consumer.html#obtaining-an-authorization-code</t>
  </si>
  <si>
    <t>Client applications SHALL request an authorization code as per [Section 4.1.1](https://datatracker.ietf.org/doc/html/rfc6749#section-4.1.1) of RFC 6749,</t>
  </si>
  <si>
    <t>https://datatracker.ietf.org/doc/html/rfc6749#section-4.1.1</t>
  </si>
  <si>
    <t xml:space="preserve">[When] The client constructs the request URI … the … parameter.. `response_type` [is] `required`[and the] value MUST be set to "code"    </t>
  </si>
  <si>
    <t>[When] The client constructs the request URI … the … parameter.. `client_id` [is] `required`… [and is t]he client identifier as described in [Section 2.2](https://datatracker.ietf.org/doc/html/rfc6749#section-2.2).</t>
  </si>
  <si>
    <t>Client applications that also support the SMART App Launch IG are NOT REQUIRED to include a launch scope or launch context requirement scope.</t>
  </si>
  <si>
    <t>Client applications .. MAY optionally support UDAP Tiered OAuth for User Authentication to allow for cross-organizational or third party user authentication as described in [Section 6](https://hl7.org/fhir/us/udap-security/STU1/user.html).</t>
  </si>
  <si>
    <t>[S]ervers MAY optionally support UDAP Tiered OAuth for User Authentication to allow for cross-organizational or third party user authentication as described in [Section 6](https://hl7.org/fhir/us/udap-security/STU1/user.html).</t>
  </si>
  <si>
    <t>Servers SHALL handle and respond to authorization code requests as per [Section 4.1.2](https://datatracker.ietf.org/doc/html/rfc6749#section-4.1.2) of RFC 6749.</t>
  </si>
  <si>
    <t>https://datatracker.ietf.org/doc/html/rfc6749#section-4.1.2</t>
  </si>
  <si>
    <t>[When responding to an authorization request ]if the resource owner grants the access request… the `code` parameter [is] `REQUIRED`</t>
  </si>
  <si>
    <t xml:space="preserve">[When responding to an authorization request i]f the resource owner grants the access request… the `code` parameter... MUST expire shortly after it is issued to mitigate the risk of leaks.  </t>
  </si>
  <si>
    <t>If the resource owner grants the access request… The client MUST NOT use the authorization code more than once.</t>
  </si>
  <si>
    <t xml:space="preserve">If an authorization code is used more than once, the authorization server MUST deny the request </t>
  </si>
  <si>
    <t>[When responding to an authorization request i]f the resource owner grants the access request… the `state` parameter [is] `REQUIRED`if the "state" parameter was present in the client authorization request</t>
  </si>
  <si>
    <t>[When receiveing an response to an authorization request t]he client MUST ignore unrecognized response parameters.</t>
  </si>
  <si>
    <t xml:space="preserve">https://hl7.org/fhir/us/udap-security/STU1/consumer.html#obtaining-an-access-token,
https://hl7.org/fhir/us/udap-security/STU1/b2b.html#obtaining-an-access-token
</t>
  </si>
  <si>
    <t xml:space="preserve">Client applications SHALL exchange authorization codes for access tokens as per [Section 4.1.3](https://datatracker.ietf.org/doc/html/rfc6749#section-4.1.3) of RFC 6749, </t>
  </si>
  <si>
    <t>https://datatracker.ietf.org/doc/html/rfc6749#section-4.1.3</t>
  </si>
  <si>
    <t>[When] the client makes a request to the token endpoint… the `grant_type` [parameter is] `REQUIRED`[and the] Value MUST be set to "authorization_code"</t>
  </si>
  <si>
    <t>[When t]he client makes a request to the token endpoint… the `code` [parameter is] `REQUIRED`[and is] the authorization code received from the authorization server</t>
  </si>
  <si>
    <t>[When t]he client makes a request to the token endpoint… the `redirect_uri` [parameter is] `REQUIRED`...if the "redirect_uri" parameter was included in the authorization request as described in [Section 4.1.1](https://datatracker.ietf.org/doc/html/rfc6749#section-4.1.1), and their values MUST be identical.</t>
  </si>
  <si>
    <t>[When t]he client makes a request to the token endpoint… the `client_id` [parameter is] `REQUIRED`...if the client is not authenticating with the authorization server as described in [Section 3.2.1](https://datatracker.ietf.org/doc/html/rfc6749#section-3.2.1).</t>
  </si>
  <si>
    <t>If the client type is confidential or the client was issued client credentials (or assigned other authentication requirements), the client MUST authenticate with the authorization server as described in [Section 3.2.1](https://datatracker.ietf.org/doc/html/rfc6749#section-3.2.1).</t>
  </si>
  <si>
    <t>[When responding to an access token request t]he authorization server MUST: require client authentication for confidential clients or for any client that was issued client credentials (or with other authentication requirements)</t>
  </si>
  <si>
    <t>[When responding to an access token request t]he authorization server MUST: ...authenticate the client if client authentication is included,</t>
  </si>
  <si>
    <t>[When responding to an access token request t]he authorization server MUST: … ensure that the authorization code was issued to the authenticated confidential client, or if the client is public, ensure that the code was issued to "client_id" in the request,</t>
  </si>
  <si>
    <t>[When responding to an access token request t]he authorization server MUST: … verify that the authorization code is valid</t>
  </si>
  <si>
    <t>[When responding to an access token request t]he authorization server MUST: … ensure that the "redirect_uri" parameter is present if the "redirect_uri" parameter was included in the initial authorization request as described in [Section 4.1.1](https://datatracker.ietf.org/doc/html/rfc6749#section-4.1.1), and if included ensure that their values are identical.</t>
  </si>
  <si>
    <t>https://hl7.org/fhir/us/udap-security/STU1/consumer.html#constructing-authentication-token</t>
  </si>
  <si>
    <t>If the client app has registered to authenticate using a private key rather than a shared client_secret, then the client SHALL use its private key to sign an Authentication Token as described in this section, and include this JWT in the client_assertion parameter of its token request as described in section 5.1 of UDAP JWT-Based Client Authentication and detailed further in Section 4.2.2 of this guide.</t>
  </si>
  <si>
    <t>Authentication Tokens submitted by client apps SHALL conform to the general JWT header requirements above</t>
  </si>
  <si>
    <t>[When constructing] Authentication Tokens [for use in the `client_assertion` element of token requests]the `iss` parameter [is] `required` [and is t]he application's `client_id` as assigned by the Authorization Server during the registration process</t>
  </si>
  <si>
    <t>[When constructing] Authentication Tokens [for use in the `client_assertion` element of token requests] … the `sub` parameter [is] `required` [and is t]he application's `client_id` as assigned by the Authorization Server during the registration process</t>
  </si>
  <si>
    <t>[When constructing] Authentication Tokens [for use in the `client_assertion` element of token requests] … the `aud` parameter [is] `required` [and is] the FHIR Authorization Server's token endpoint URL</t>
  </si>
  <si>
    <t>[When constructing] Authentication Tokens [for use in the `client_assertion` element of token requests] … the `exp` parameter [is] `required` [and is the e]xpiration time integer for this authentication JWT, expressed in seconds since the "Epoch" (1970-01-01T00:00:00Z UTC)</t>
  </si>
  <si>
    <t>[When constructing] Authentication Tokens [for use in the `client_assertion` element of token requests] … the `iat` parameter [is] `required` [and is the i]ssued time integer for this authentication JWT, expressed in seconds since the "Epoch"</t>
  </si>
  <si>
    <t xml:space="preserve">[When constructing] Authentication Tokens [for use in the `client_assertion` element of token requests] … the `jti` parameter [is] `required` [and is a] nonce string value that uniquely identifies this authentication </t>
  </si>
  <si>
    <t>[When constructing] Authentication Tokens [for use in the `client_assertion` ...element of token requests] … the `jti` parameter...  SHALL NOT be reused by the client app in another authentication JWT before the time specified in the `exp` claim has passed</t>
  </si>
  <si>
    <t>https://hl7.org/fhir/us/udap-security/STU1/consumer.html#constructing-authentication-token,
 https://hl7.org/fhir/us/udap-security/STU1/b2b.html#constructing-authentication-token</t>
  </si>
  <si>
    <t>The maximum lifetime for an Authentication Token SHALL be 5 minutes, i.e. the value of `exp` minus the value of `iat` SHALL NOT exceed 300 seconds.</t>
  </si>
  <si>
    <t>https://hl7.org/fhir/us/udap-security/STU1/consumer.html#constructing-authentication-token, 
https://hl7.org/fhir/us/udap-security/STU1/b2b.html#constructing-authentication-token</t>
  </si>
  <si>
    <t>The Authentication Token SHALL be signed and serialized using the JSON compact serialization method..</t>
  </si>
  <si>
    <t>https://hl7.org/fhir/us/udap-security/STU1/consumer.html#submitting-a-token-request</t>
  </si>
  <si>
    <t>For client applications authenticating with a shared secret, the client application and server SHALL follow the token request and response protocol in Section 4.1.3 and Section 4.1.4 of RFC 6749.</t>
  </si>
  <si>
    <t>hl7.fhir.us.udap-security_1.0.0@141-150</t>
  </si>
  <si>
    <t>Client applications authenticating with a private key and Authentication Token as per Section [4.2.1](https://hl7.org/fhir/us/udap-security/STU1/consumer.html#constructing-authentication-token) SHALL submit a POST request to the Authorization Server’s token endpoint containing the [token request]... parameters as per Section 5.1 of UDAP JWT-Based Client Authentication</t>
  </si>
  <si>
    <t>https://hl7.org/fhir/us/udap-security/STU1/consumer.html#submitting-a-token-request,
https://hl7.org/fhir/us/udap-security/STU1/b2b.html#submitting-a-token-request</t>
  </si>
  <si>
    <t>Client apps authenticating in this [with a private key and Authentication Token] manner SHALL NOT include an HTTP Authorization header or client secret in its token endpoint request.</t>
  </si>
  <si>
    <t>SHALL NOT</t>
  </si>
  <si>
    <t>[When authenticating with a private key and Authentication Token] the `grant_type` [parameter is] `required`[and SHALL contain the f]ixed value: `authorization_code`</t>
  </si>
  <si>
    <t>[When authenticating with a private key and Authentication Token] the `code` [parameter is] `required`[and SHALL contain the] code that the app received from the Authorization Server</t>
  </si>
  <si>
    <t>[When authenticating with a private key and Authentication Token] the `redirect_uri` [parameter is] `conditional`… SHALL be present only if the redirect_uri parameter was included in the authorization request in Section 4.1,</t>
  </si>
  <si>
    <t>[When authenticating with a private key and Authentication Token] the `redirect_uri`  values SHALL be identical [with those sent on the authorization request].</t>
  </si>
  <si>
    <t>[When authenticating with a private key and Authentication Token] the `client_assertion_type` [parameter is] `required`[and SHALL contain the] fixed value: `urn:ietf:params:oauth:client-assertion-type:jwt-bearer`</t>
  </si>
  <si>
    <t>[When authenticating with a private key and Authentication Token] the `client_assertion` [parameter is] `required`[and SHALL contain the] signed Authentication Token JWT</t>
  </si>
  <si>
    <t>[When authenticating with a private key and Authentication Token] the `udap` [parameter is] `required`[and SHALL contain a f]ixed value: 1</t>
  </si>
  <si>
    <t>An Authorization Server receiving token requests containing Authentication Tokens... SHALL validate and respond to the request as per [Sections 6 and 7 of UDAP JWT-Based Client Authentication](https://www.udap.org/udap-jwt-client-auth.html).</t>
  </si>
  <si>
    <t>hl7.fhir.us.udap-security_1.0.0@173-183</t>
  </si>
  <si>
    <t>https://www.udap.org/udap-jwt-client-auth.html</t>
  </si>
  <si>
    <t>The AS validates the digital signature on the AnT [in the token request] using the public key extracted from cert1 in the x5c parameter of the JOSE header.</t>
  </si>
  <si>
    <t>If the signature cannot be validated [using the public key extracted from cert1 in the x5c parameter], the [token] request is denied.</t>
  </si>
  <si>
    <t>[For the Authorization Server to validate the Client App’s request] the Client MUST include its own certificate [in the x5c parameter of the JOSE header on AnTs in token requests]</t>
  </si>
  <si>
    <t>If a trusted chain cannot be built and validated by the AS [for certificates in the x5c parameter of the JOSE header on AnTs in token requests], the request is denied.</t>
  </si>
  <si>
    <t>[When validating the Client App’s request t]he iss and sub values MUST correspond to a registered client ID that is permitted to authenticate using an AnT and whose registration is bound to a uniformResourceIdentifier entry in the Subject Alternative Names extension of the Client’s certificate, e.g. via UDAP Dynamic Client Registration</t>
  </si>
  <si>
    <t>[When validating the Client App’s request]  If the request contains a client_id parameter, the client_id value MUST match the iss and sub values</t>
  </si>
  <si>
    <t>[When validating the Client App’s token request] The aud value MUST contain the AS’s token endpoint URI</t>
  </si>
  <si>
    <t xml:space="preserve">[When validating the Client App’s token request] the AnT MUST be unexpired. </t>
  </si>
  <si>
    <t>[When validating the Client App’s token request] A maximum AnT lifetime of 5 minutes is RECOMMENDED</t>
  </si>
  <si>
    <t xml:space="preserve">The AS validates any other parameters in the [token] request as per the requirements of the grant mechanism identified by the grant_type value. </t>
  </si>
  <si>
    <t>If a parameter is invalid or a required parameter is missing [on a token request], the request is denied</t>
  </si>
  <si>
    <t>https://hl7.org/fhir/us/udap-security/STU1/consumer.html#submitting-a-token-request ,
 https://hl7.org/fhir/us/udap-security/STU1/b2b.html#client-credentials-grant</t>
  </si>
  <si>
    <t xml:space="preserve">For all successful token requests, the Authorization Server SHALL issue access tokens with a lifetime no longer than 60 minutes.
</t>
  </si>
  <si>
    <t>https://hl7.org/fhir/us/udap-security/STU1/b2b.html#business-to-business</t>
  </si>
  <si>
    <t>B2B client applications registered to use the authorization code grant SHALL obtain an access token for access to FHIR resources by following the OAuth 2.0 authorization code grant flow described in [Section 4.1](https://datatracker.ietf.org/doc/html/rfc6749#section-4.1) of RFC 6749</t>
  </si>
  <si>
    <t>Client applications registered to use the client credentials grant SHALL obtain an access token for access to FHIR resources by following the OAuth 2.0 client credentials grant flow described in [Section 4.4](https://datatracker.ietf.org/doc/html/rfc6749#section-4.4) of RFC 6749</t>
  </si>
  <si>
    <t>[When using the B2B client credentials flow to obtain access] the Requestor [(client)] is responsible for ensuring that the Requestor’s User, if applicable, is using the app only as authorized by the Requestor.</t>
  </si>
  <si>
    <t>https://hl7.org/fhir/us/udap-security/STU1/b2b.html#obtaining-an-authorization-code</t>
  </si>
  <si>
    <t>Client applications registered to use the authorization code grant SHALL request an authorization code as per [Section 4.1.1](https://datatracker.ietf.org/doc/html/rfc6749#section-4.1.1) of RFC 6749</t>
  </si>
  <si>
    <t>hl7.fhir.us.udap-security_1.0.0@128-129</t>
  </si>
  <si>
    <t>Client applications that also support the SMART App Launch IG are NOT REQUIRED to include a launch scope or launch context requirement scope [when using the B2B flow to request an authorization code].</t>
  </si>
  <si>
    <t>Inclusion of "launch scope or launch context requirement scope" on authorization requests is not a requirement of the SMART IG, so this doesn't have any meaning.</t>
  </si>
  <si>
    <t>Servers SHALL handle and respond to authorization code requests as per [Section 4.1.2 of RFC 6749](https://datatracker.ietf.org/doc/html/rfc6749#section-4.1.2).</t>
  </si>
  <si>
    <t>hl7.fhir.us.udap-security_1.0.0@134-139</t>
  </si>
  <si>
    <t>https://hl7.org/fhir/us/udap-security/STU1/b2b.html#constructing-authentication-token</t>
  </si>
  <si>
    <t>The client SHALL use its private key to sign an Authentication Token..., and include this JWT in the `client_assertion` parameter of its token request as described in section 5.1 of UDAP JWT-Based Client Authentication and detailed further in [Section 5.2.2](https://hl7.org/fhir/us/udap-security/STU1/b2b.html#submitting-a-token-request) of this guide</t>
  </si>
  <si>
    <t xml:space="preserve">[when submitting Authentication Tokens] the `sub` claim [is] `required`. </t>
  </si>
  <si>
    <t xml:space="preserve">[when submitting Authentication Tokens] the `aud` claim [is] `required`. </t>
  </si>
  <si>
    <t xml:space="preserve">[when submitting Authentication Tokens] the `exp` claim [is] `required`. </t>
  </si>
  <si>
    <t xml:space="preserve">[when submitting Authentication Tokens] the `iat` claim [is] `required`. </t>
  </si>
  <si>
    <t xml:space="preserve">[when submitting Authentication Tokens] the `jti` claim [is] `required`. </t>
  </si>
  <si>
    <t>[when submitting Authentication Tokens] the `extensions` claim [is] `conditional` [and] The HL7 B2B Authorization Extension Object ...is required for B2B client apps using the client_credentials flow</t>
  </si>
  <si>
    <t>[when submitting Authentication Tokens] the `extensions` claim [is] `conditional` [and shall be] omit[ted] for client apps using the `authorization_code` flow</t>
  </si>
  <si>
    <t>https://hl7.org/fhir/us/udap-security/STU1/b2b.html#b2b-authorization-extension-object</t>
  </si>
  <si>
    <t>[when constructing a B2B Authorization Extension Object following the `client_credentials` flow] the value `version` [is] `required` [with a] String with fixed value: "1"</t>
  </si>
  <si>
    <t>[when constructing a B2B Authorization Extension Object following the `client_credentials` flow] the value `subject_name` [is] `conditional` [and SHALL be required if the] String containing the human readable name of the human or non-human requestor [is] known</t>
  </si>
  <si>
    <t xml:space="preserve">[when constructing a B2B Authorization Extension Object following the `client_credentials` flow] the value `subject_id` [is] `conditional` [and SHALL be required]  if known for human requestors when the `subject_name` parameter is present. </t>
  </si>
  <si>
    <t>[when constructing a B2B Authorization Extension Object following the `client_credentials` flow] the value `subject_id`... For US Realm,... SHALL be the subject's individual National Provider Identifier (NPI)</t>
  </si>
  <si>
    <t xml:space="preserve">[when constructing a B2B Authorization Extension Object following the `client_credentials` flow] the value `subject_id` [is] `conditional` [and SHALL be omitted] for non-human requestors </t>
  </si>
  <si>
    <t>[when constructing a B2B Authorization Extension Object following the `client_credentials` flow] the value `subject_id` [is] `conditional` [and SHALL be omitted] ... for requestors who have not been assigned an NPI</t>
  </si>
  <si>
    <t>[when constructing a B2B Authorization Extension Object following the `client_credentials` flow] the value `subject_role` [is] `conditional` [and SHALL be required] if known for human requestors when the `subject_name` parameter is present. For US Realm, trust communities SHOULD constrain the allowed values and formats, and are encouraged to draw from the National Uniform Claim Committee (NUCC) Provider Taxonomy Code Set, but are not required to do so to be considered conformant.</t>
  </si>
  <si>
    <t>Client, Trust Community</t>
  </si>
  <si>
    <t>[when constructing a B2B Authorization Extension Object following the `client_credentials` flow]  For US Realm, trust communities SHOULD constrain the allowed values and formats [for the value `subject_role`] and are encouraged to draw from the National Uniform Claim Committee (NUCC) Provider Taxonomy Code Set</t>
  </si>
  <si>
    <t>Trust Community</t>
  </si>
  <si>
    <t>[when constructing a B2B Authorization Extension Object following the `client_credentials` flow] the value `organization_name` [is] `optional` [and is a] string containing the human readable name of the organizational requestor. If a subject is named, the organizational requestor is the organization represented by the subject.</t>
  </si>
  <si>
    <t>[when constructing a B2B Authorization Extension Object following the `client_credentials` flow] the value `organization_name` [is] `optional` … if a subject is named, the organizational requestor is the organization represented by the subject.</t>
  </si>
  <si>
    <t xml:space="preserve">[when constructing a B2B Authorization Extension Object following the `client_credentials` flow] the value `organization_id` [is] `required` [and] SHALL be a Uniform Resource Identifier (URI). </t>
  </si>
  <si>
    <t>[when constructing a B2B Authorization Extension Object following the `client_credentials` flow] the value `organization_id` [is] `required` [and] ... Trust communities SHALL define the allowed URI scheme(s).</t>
  </si>
  <si>
    <t>[when constructing a B2B Authorization Extension Object following the `client_credentials` flow] the value `organization_id` [is] `required`... If a URL is used, the issuer SHALL include a URL that is resolvable by the receiving party.</t>
  </si>
  <si>
    <t>[when constructing a B2B Authorization Extension Object following the `client_credentials` flow] the value `purpose_of_use` [is] `required`.</t>
  </si>
  <si>
    <t xml:space="preserve">[when constructing a B2B Authorization Extension Object following the `client_credentials` flow] For US Realm, trust communities SHOULD constrain the allowed [`purpose_of_use`] values, and are encouraged to draw from the HL7 [PurposeOfUse](http://terminology.hl7.org/ValueSet/v3-PurposeOfUse) value set </t>
  </si>
  <si>
    <t>[when constructing a B2B Authorization Extension Object following the `client_credentials` flow] the value `consent_policy` [is] `optional`[and SHALL contain] an array of one or more strings, each containing a URI identifiying a privacy consent directive policy or other policy consistent with the value of the purpose_of_use parameter.</t>
  </si>
  <si>
    <t>[when constructing a B2B Authorization Extension Object following the `client_credentials` flow] the value `consent_reference` [is] `conditional`[and SHALL  contain a]n array of one or more strings, each containing an absolute URL consistent with a [literal reference](https://www.hl7.org/fhir/R4/references.html#literal) to a FHIR [Consent](https://www.hl7.org/fhir/R4/consent.html) or [DocumentReference](https://www.hl7.org/fhir/R4/documentreference.html) resource containing or referencing a privacy consent directive relevant to a purpose identified by the `purpose_of_use` parameter and the policy or policies identified by the `consent_policy` parameter.</t>
  </si>
  <si>
    <t>[When populating the consent_reference value of the B2B Authorization Extension] the value `consent_reference` [is] `conditional` ... [and t]he issuer of this Authorization Extension Object SHALL only include URLs that are resolvable by the receiving party.</t>
  </si>
  <si>
    <t xml:space="preserve">[When populating the consent_reference value of the B2B Authorization Extension] the value `consent_reference` [is] `conditional`... [and i]f a referenced resource does not include the raw document data inline in the resource or as a contained resource, then it SHALL include a URL to the attachment data that is resolvable by the receiving party. </t>
  </si>
  <si>
    <t>[when constructing a B2B Authorization Extension Object following the `client_credentials` flow] the value `consent_reference` [is] `conditional`[and shall be ] ...  Omit[ted] if `consent_policy` [paramaeter] is not present.</t>
  </si>
  <si>
    <t>https://hl7.org/fhir/us/udap-security/STU1/b2b.html#submitting-a-token-request</t>
  </si>
  <si>
    <t>Client applications using the authorization code grant and authenticating with a private key and Authentication Token as per Section 5.2.1 SHALL submit a POST request to the Authorization Server’s token endpoint containing the following parameters as per Section 5.1 of UDAP JWT-Based Client Authentication.</t>
  </si>
  <si>
    <t>https://hl7.org/fhir/us/udap-security/STU1/b2b.html#client-credentials-grant</t>
  </si>
  <si>
    <t>Client applications using the client credentials grant and authenticating with a private key and Authentication Token as per Section [5.2.1](https://hl7.org/fhir/us/udap-security/STU1/b2b.html#constructing-authentication-token) SHALL submit a POST request to the Authorization Server’s token endpoint containing the following parameters as per Section 5.2 of UDAP JWT-Based Client Authentication.</t>
  </si>
  <si>
    <t>Client applications using the client credentials grant and authenticating with a private key and Authentication Token as per Section [5.2.1](https://hl7.org/fhir/us/udap-security/STU1/b2b.html#constructing-authentication-token) … SHALL NOT include an HTTP Authorization header or client secret in its token endpoint request.</t>
  </si>
  <si>
    <t>[When requesting a Client credentials grant] the `grant_type` parameter [is] `required` [and SHALL contain f]ixed value: `client_credentials`</t>
  </si>
  <si>
    <t>[When requesting a Client credentials grant] the `client_assertion_type` parameter [is] `required` [and SHALL contain f]ixed value: `urn:ietf:params:oauth:client-assertion-type:jwt-bearer`</t>
  </si>
  <si>
    <t>[When requesting a Client credentials grant] the `client_assertion` parameter [is] `required` [and SHALL contain] the signed Authentication Token JWT</t>
  </si>
  <si>
    <t>[When requesting a Client credentials grant] the `udap` parameter [is] `required` [and SHALL contain] fixed value: `1`</t>
  </si>
  <si>
    <t>https://hl7.org/fhir/us/udap-security/STU1/b2b.html#client-credentials-grant,
https://hl7.org/fhir/us/udap-security/STU1/consumer.html#submitting-a-token-request</t>
  </si>
  <si>
    <t>An Authorization Server receiving token requests containing Authentication Tokens ... SHALL validate and respond to the request as per Sections 6 and 7 of UDAP JWT-Based Client Authentication.</t>
  </si>
  <si>
    <t>https://hl7.org/fhir/us/udap-security/STU1/b2b.html#refresh-tokens,
https://hl7.org/fhir/us/udap-security/STU1/consumer.html#submitting-a-token-request</t>
  </si>
  <si>
    <t>Authorization Servers MAY issue refresh tokens to B2B [and consumer-facing] client applications that use the authorization code grant type as per [Section 5 of RFC 6749](https://datatracker.ietf.org/doc/html/rfc6749#section-5)</t>
  </si>
  <si>
    <t xml:space="preserve">Client apps that have been issued refresh tokens MAY make refresh requests to the token endpoint as per [Section 6 of RFC 6749](https://datatracker.ietf.org/doc/html/rfc6749#section-6). </t>
  </si>
  <si>
    <t xml:space="preserve">Client </t>
  </si>
  <si>
    <t>hl7.fhir.us.udap-security_1.0.0@232-233</t>
  </si>
  <si>
    <t>https://datatracker.ietf.org/doc/html/rfc6749#section-6</t>
  </si>
  <si>
    <t>[When requesting a refresh token]  the `grant_type` [parameter is] REQUIRED [and the ] Value MUST be set to "refresh_token"</t>
  </si>
  <si>
    <t>https://datatracker.ietf.org/doc/html/rfc6749#section-7</t>
  </si>
  <si>
    <t>[When requesting a refresh token]  the `refresh_token` [parameter is] REQUIRED [and is ] The refresh token issued to the client</t>
  </si>
  <si>
    <t>Client apps authenticate to the Authorization Server for refresh requests by constructing and including an Authentication Token in the same manner as for initial token requests [i.e., include the client_assertion_type and client_assertion fields as in the token request]</t>
  </si>
  <si>
    <t>https://hl7.org/fhir/us/udap-security/STU1/user.html#data-holder-authentication-request-to-idp</t>
  </si>
  <si>
    <t>IdPs that support this [UDAP] guide SHALL include `"openid"` and `"udap"` in the array of scopes returned for the `scopes_supported` parameter.</t>
  </si>
  <si>
    <t>https://hl7.org/fhir/us/udap-security/STU1/user.html#client-authorization-request-to-data-holder</t>
  </si>
  <si>
    <t>The client app indicates the preferred Identity Provider to the data holder… by modifying the authorization endpoint request… [and a]dd[ing] `udap` to the list of scopes provided in the value of the `scope` query parameter</t>
  </si>
  <si>
    <t>The client app indicates the preferred Identity Provider to the data holder… by modifying the authorization endpoint request… [and a]dd[ing] the extension query parameter `idp` with a value equal to the base URL of the preferred OIDC IdP.</t>
  </si>
  <si>
    <t>Upon receiving an authorization request with a preferred IdP, the data holder first determines whether or not it trusts the IdP to perform user authentication, by retrieving and validating the IdP’s UDAP metadata from {baseURL}/.well-known/udap, as discussed in [Section 2.2](https://hl7.org/fhir/us/udap-security/STU1/discovery.html#required-udap-metadata)</t>
  </si>
  <si>
    <t xml:space="preserve">If the IdP is trusted and the data holder is not yet registered as a client with the IdP and the IdP supports UDAP Dynamic Registration, then the data holder SHALL register as a client with the IdP as per [Section 3](https://hl7.org/fhir/us/udap-security/STU1/registration.html#registration) of this guide.
</t>
  </si>
  <si>
    <t>If the IdP is not trusted by the data holder, or if the data holder does not have and cannot obtain a client_id to use with the IdP, the data holder MAY reject the client app’s authorization request</t>
  </si>
  <si>
    <t>[if the data holder rejects the request because of idP it SHALL return an error with the invalid_idp extension error code] as per [Section 4.1.2.1 of RFC 6749](https://datatracker.ietf.org/doc/html/rfc6749#section-4.1.2.1), using the extension error code of invalid_idp.</t>
  </si>
  <si>
    <t>hl7.fhir.us.udap-security_1.0.0@241</t>
  </si>
  <si>
    <t>https://datatracker.ietf.org/doc/html/rfc6749#section-4.1.2.1</t>
  </si>
  <si>
    <t>If the request fails due to a missing, invalid, or mismatching redirection URI, or if the client identifier is missing or invalid, the authorization server ... MUST NOT automatically redirect the user-agent to the invalid redirection URI.</t>
  </si>
  <si>
    <t>If the IdP is not trusted by the data holder, or if the data holder does not have and cannot obtain a client_id to use with the IdP ... the data holder MAY attempt to authenticate the user with a different trusted IdP or its own IdP, and MAY interact with the user to determine a suitable alternative</t>
  </si>
  <si>
    <t>[When authenticating the user a] client app that receives an error code of `invalid_idp` MAY attempt to obtain authorization again by specifying a different IdP base URL in the `idp` authorization request parameter, or by making a new authorization request without using the Tiered OAuth workflow.</t>
  </si>
  <si>
    <t xml:space="preserve">If the IdP is trusted by the data holder, and the data holder is registered as a client with the IdP, then the data holder, acting as an OIDC client, SHALL make an authentication request to the IdP’s authorization endpoint as per [Section 3.1.2.1 of OIDC Core](https://openid.net/specs/openid-connect-core-1_0.html#AuthRequest) and Section 3.4 of [UDAP Tiered OAuth](https://www.udap.org/udap-user-auth-stu1.html). </t>
  </si>
  <si>
    <t>hl7.fhir.us.udap-security_1.0.0@246-255</t>
  </si>
  <si>
    <t>https://openid.net/specs/openid-connect-core-1_0.html#AuthRequest</t>
  </si>
  <si>
    <t xml:space="preserve">Authorization Servers MUST support the use of the HTTP `GET` and `POST` methods defined in [RFC 7231](https://openid.net/specs/openid-connect-core-1_0.html#RFC7231) at the Authorization Endpoint. </t>
  </si>
  <si>
    <t>OpenID Connect [authentication] requests MUST contain the openid scope value.</t>
  </si>
  <si>
    <t>[When constructing an OpenID Connect authentication request the] `response_type` parameter is REQUIRED. Response Type value that determines the authorization processing flow to be used, including what parameters are returned from the endpoints used. When using the Authorization Code Flow, this value is code.</t>
  </si>
  <si>
    <t>[When constructing an OpenID Connect authentication request the] `client_id` [parameter is] REQUIRED [and SHALL be a] Client Identifier valid at the Authorization Server.</t>
  </si>
  <si>
    <t xml:space="preserve">[When constructing an OpenID Connect authentication request the] `redirect_uri` [parameter is] REQUIRED [and SHALL be a] Redirection URI to which the response will be sent. </t>
  </si>
  <si>
    <t>[When constructing an OpenID Connect authentication request] The [`redirect_uri`] URI MUST exactly match one of the Redirection URI values for the Client pre-registered at the OpenID Provider, with the matching performed as described in [Section 6.2.1 of [RFC3986]](https://openid.net/specs/openid-connect-core-1_0.html#RFC3986) (Simple String Comparison).</t>
  </si>
  <si>
    <t>https://www.udap.org/udap-user-auth-stu1.html</t>
  </si>
  <si>
    <t>[When UDAP Tiered OAuth for User Authentication  is being requested] If... [the “openid” and “udap”] scope is omitted, the behavior of the IdP is entirely unspecified and the IdP SHOULD NOT proceed with the UDAP Tiered OAuth for User Authentication  workflow.</t>
  </si>
  <si>
    <t>SHOULD NOT</t>
  </si>
  <si>
    <t xml:space="preserve">server </t>
  </si>
  <si>
    <t>The Resource Holder MUST use the authorization code flow when redirecting the user to the IdP’s authorization endpoint</t>
  </si>
  <si>
    <t xml:space="preserve">The Resource Holder MUST generate its own random value for the state parameter </t>
  </si>
  <si>
    <t>The Resource Holder MUST NOT reuse the [state] value provided by the Client App in Step 2.</t>
  </si>
  <si>
    <t xml:space="preserve">The `scope` query parameter of the authentication request SHALL contain at least the following two values: `openid` and `udap`. </t>
  </si>
  <si>
    <t>The IdP SHALL authenticate the user as per [Sections 3.1.2.2 - 3.1.2.6 of OIDC Core](https://openid.net/specs/openid-connect-core-1_0.html#AuthRequestValidation) and Sections 4.1 - 4.2 of [UDAP Tiered Oauth](https://www.udap.org/udap-user-auth-stu1.html).</t>
  </si>
  <si>
    <t>hl7.fhir.us.udap-security_1.0.0@258-278</t>
  </si>
  <si>
    <t>https://openid.net/specs/openid-connect-core-1_0.html#AuthRequestValidation</t>
  </si>
  <si>
    <t>The Authorization Server MUST validate all the OAuth 2.0 [authentication request] parameters according to the OAuth 2.0 specification.</t>
  </si>
  <si>
    <t>the Authorization Server MUST ...Verify that a `scope` parameter is present and contains the `openid` scope value [on an authentication request]. (If no `openid` scope value is present, the request may still be a valid OAuth 2.0 request but is not an OpenID Connect request.)</t>
  </si>
  <si>
    <t>The Authorization Server MUST verify that all the REQUIRED [authentication request] parameters are present and their usage conforms to this specification.</t>
  </si>
  <si>
    <t xml:space="preserve">If the sub (subject) Claim is requested [on an authentication request] with a specific value for the ID Token, the Authorization Server MUST only send a positive response if the End-User identified by that sub value has an active session with the Authorization Server or has been Authenticated as a result of the request. </t>
  </si>
  <si>
    <t>The Authorization Server MUST NOT reply [to an authentication request] with an ID Token or Access Token for a different user, even if they have an active session with the Authorization Server.</t>
  </si>
  <si>
    <t xml:space="preserve">When an id_token_hint is present [on an authentication request], the OP MUST validate that it was the issuer of the ID Token. </t>
  </si>
  <si>
    <t>[When validating authentication requests received] If the Authorization Server encounters any error, it MUST return an error response, per [Section 3.1.2.6](https://openid.net/specs/openid-connect-core-1_0.html#AuthRequestValidation)</t>
  </si>
  <si>
    <t>he Authorization Server MUST attempt to Authenticate the End-User [for an authentication request when] … The End-User is not already Authenticated.</t>
  </si>
  <si>
    <t>The Authorization Server MUST attempt to Authenticate the End-User [for an authentication request when] … The Authentication Request contains the prompt parameter with the value login. In this case, the Authorization Server MUST reauthenticate the End-User even if the End-User is already authenticated.</t>
  </si>
  <si>
    <t>The Authorization Server MUST NOT interact with the End-User [on an authentication request when] the  Authentication Request contains the prompt parameter with the value none. In this case, the Authorization Server MUST return an error if an End-User is not already Authenticated or could not be silently Authenticated.</t>
  </si>
  <si>
    <t>In this case, [when the Authentication Request contains the prompt parameter with the value none] the Authorization Server MUST return an error if an End-User is not already Authenticated or could not be silently Authenticated.</t>
  </si>
  <si>
    <t>When interacting with the End-User [for an authentication request], the Authorization Server MUST employ appropriate measures against Cross-Site Request Forgery and Clickjacking as, described in [Sections 10.12 and 10.13 of OAuth 2.0](https://openid.net/specs/openid-connect-core-1_0.html#RFC6749)  [RFC6749].</t>
  </si>
  <si>
    <t>[When the IdP interacts with the user to authenticate the user] The Resource Holder MUST validate that the value of the state parameter in the query string matches the value generated in Step 3.4.</t>
  </si>
  <si>
    <t>[When the IdP interacts with the user to authenticate the user] If [the value of the state parameter in the query string ] does NOT match, the Resource Holder MUST terminate this workflow by redirecting the user’s browser to the Client App’s redirection URI with an error code of “server_error” as per standard OAuth 2.0 error flow.</t>
  </si>
  <si>
    <t>If the Resource Holder receives ... an error response from the IdP [for an authentication request], the Resource Holder MUST first validate the value of the state parameter as described in Step 4.1</t>
  </si>
  <si>
    <t>If the state value is valid [on an error response for an authentication request], the Resource Holder MUST terminate this workflow by redirecting the user’s browser to the Client App’s redirection URI with an error code of “access_denied” as per standard OAuth 2.0 error flow,</t>
  </si>
  <si>
    <t>The Client App MUST validate the value of the state parameter returned by the Resource Holder [in response to an authorization request] as per RFC 6749.</t>
  </si>
  <si>
    <t>https://datatracker.ietf.org/doc/html/rfc6749#section-10.12</t>
  </si>
  <si>
    <t>The client MUST implement CSRF protection for its redirection URI. This is typically accomplished by requiring any request sent to the redirection URI endpoint to include a value that binds the request to the user-agent's authenticated state (e.g., a hash of the session cookie used to authenticate the user-agent).</t>
  </si>
  <si>
    <t>The binding value used for CSRF protection MUST contain a non-guessable value (as described in   Section 10.10)</t>
  </si>
  <si>
    <t>the user-agent's authenticated state (e.g.,session cookie, HTML5 local storage) MUST be kept in a location accessible only to the client and the user-agent (i.e., protected by same-origin policy).</t>
  </si>
  <si>
    <t>The authorization server MUST implement CSRF protection for its authorization endpoint and ensure that a malicious client cannot obtain authorization without the awareness and explicit consent of the resource owner.</t>
  </si>
  <si>
    <t>If the IdP returns a successful authentication response with valid state parameter value and an authorization code, the data holder SHALL exchange the code for an access token and ID Token by making a request to the IdP’s token endpoint as per [Section 3.1.3.1 of OIDC Core](https://openid.net/specs/openid-connect-core-1_0.html#TokenRequest) and Section 4.3 of [UDAP Tiered OAuth](https://www.udap.org/udap-user-auth-stu1.html).</t>
  </si>
  <si>
    <t>hl7.fhir.us.udap-security_1.0.0@280-290</t>
  </si>
  <si>
    <t>https://openid.net/specs/openid-connect-core-1_0.html#TokenRequest</t>
  </si>
  <si>
    <t>[When making a token request] If the Client is a Confidential Client, then it MUST authenticate to the Token Endpoint using the authentication method registered for its `client_id`, as described in [Section 9](https://openid.net/specs/openid-connect-core-1_0.html#ClientAuthentication).</t>
  </si>
  <si>
    <t>The Resource Holder MUST authenticate to the IdP’s token endpoint [when requesting an ID token and access token] as detailed in Section 5 of UDAP JWT-based Client Authentication</t>
  </si>
  <si>
    <t>If the IdP returns an ID Token, the data holder SHALL then validate the ID Token as per Section [3.1.3.5 of OIDC Core](https://openid.net/specs/openid-connect-core-1_0.html#TokenResponseValidation).</t>
  </si>
  <si>
    <t>https://openid.net/specs/openid-connect-core-1_0.html#TokenResponseValidation</t>
  </si>
  <si>
    <t>The Client MUST validate the Token Response … Follow[ing] the validation rules in RFC 6749, especially those in [Sections 5.1 and 10.12](https://datatracker.ietf.org/doc/rfc6749/).</t>
  </si>
  <si>
    <t>[When constructing an an access token response] the `access_token` parameter [is] `REUIRED`… [and] added to the entity-body of the HTTP response with a 200 (OK) status code</t>
  </si>
  <si>
    <t>[When constructing an an access token response] the `token_type` parameter [is] `REUIRED`… [and] added to the entity-body of the HTTP response with a 200 (OK) status code</t>
  </si>
  <si>
    <t>Web application clients MUST ensure confidentiality of client passwords and other client credentials.</t>
  </si>
  <si>
    <t xml:space="preserve">The authorization server MUST NOT issue client passwords or other client credentials to native application or user-agent-based application clients for the purpose of client authentication. </t>
  </si>
  <si>
    <t xml:space="preserve">The authorization server must consider the security implications of interacting with unauthenticated clients and take measures to limit the potential exposure of other credentials (e.g., refresh tokens) issued to such clients. </t>
  </si>
  <si>
    <t>The Client MUST validate the Token Response ...
Follow[ing] the ID Token validation rules in Section [3.1.3.7](https://openid.net/specs/openid-connect-core-1_0.html#IDTokenValidation).</t>
  </si>
  <si>
    <t>The Client MUST validate the Token Response ...
Follow[ing] the Access Token validation rules in Section [3.1.3.8](https://openid.net/specs/openid-connect-core-1_0.html#CodeFlowTokenValidation)</t>
  </si>
  <si>
    <t xml:space="preserve">If the IdP does not return an ID Token, or the ID Token cannot be successfully validated, or an error response is retured by the IdP, the data holder MAY return an `invalid_idp` error code to the client app or attempt an alternate user authentication </t>
  </si>
  <si>
    <t>https://hl7.org/fhir/us/udap-security/STU1/user.html#data-holder-interaction-with-user-after-authentication</t>
  </si>
  <si>
    <t>When an ID Token has been returned and validated, the data holder SHOULD use the ID Token to attempt to match the authenticated user to a user or role in its own system, as appropriate for the resources requested.</t>
  </si>
  <si>
    <t>the data holder can attempt to map the pair (`iss`,`sub`) to a known users in the data holder’s system.</t>
  </si>
  <si>
    <t xml:space="preserve"> If the data holder has previously performed this mapping or has otherwise bound the pair (`iss`,`sub`) to a local user or role, it MAY rely on this previous mapping for subsequent authentications</t>
  </si>
  <si>
    <t>the data holder MAY interact with the user following the redirection from the IdP back to the data holder’s redirection URI to increase confidence in the [role] resolution process.</t>
  </si>
  <si>
    <t>If the data holder is unable to resolve the authenticated user to a local user or role, as appropriate for the resources requested, it SHALL return an `access_denied` error response to the client app’s authorization request and terminate the workflow.</t>
  </si>
  <si>
    <t>If the data holder successfully maps the authenticated user to a user or role in its own system, as appropriate for the resources requested, it SHALL also obtain authorization from the user for the scopes requested by the client app, if such authorization is required, as per Section [4.5 of UDAP Tiered OAuth](https://www.udap.org/udap-user-auth-stu1.html), returning to the workflow defined in [Section 4.1](https://hl7.org/fhir/us/udap-security/STU1/consumer.html#obtaining-an-authorization-code) or [Section 5.1](https://hl7.org/fhir/us/udap-security/STU1/b2b.html#obtaining-an-authorization-code) of this guide, for consumer-facing or B2B apps, respectively.</t>
  </si>
  <si>
    <t>Id</t>
  </si>
  <si>
    <t>hl7.fhir.us.udap-security_1.0.0</t>
  </si>
  <si>
    <t>URL</t>
  </si>
  <si>
    <t>Version</t>
  </si>
  <si>
    <t>1.1</t>
  </si>
  <si>
    <t>Title</t>
  </si>
  <si>
    <t>Status</t>
  </si>
  <si>
    <t>Draft</t>
  </si>
  <si>
    <t>Publisher</t>
  </si>
  <si>
    <t>Description</t>
  </si>
  <si>
    <t>Purpose</t>
  </si>
  <si>
    <t>Copyright</t>
  </si>
  <si>
    <t>Copyright Label</t>
  </si>
  <si>
    <t>Reference</t>
  </si>
  <si>
    <t>https://hl7.org/fhir/us/udap-security/STU1/</t>
  </si>
  <si>
    <t>Scope</t>
  </si>
  <si>
    <t>Author</t>
  </si>
  <si>
    <t>Email</t>
  </si>
  <si>
    <t>Summary of changes</t>
  </si>
  <si>
    <t>Date</t>
  </si>
  <si>
    <t xml:space="preserve">Lizzie </t>
  </si>
  <si>
    <t>&lt;your email&gt;</t>
  </si>
  <si>
    <t>Initial input of requirements</t>
  </si>
  <si>
    <t>Mir Ali</t>
  </si>
  <si>
    <t>Mali@mitre.org</t>
  </si>
  <si>
    <t xml:space="preserve">Completed requirements that were started previously </t>
  </si>
  <si>
    <t>Conformance</t>
  </si>
  <si>
    <t>ATTESTATION</t>
  </si>
  <si>
    <t>No</t>
  </si>
  <si>
    <t>AUTOMATION</t>
  </si>
  <si>
    <t>Yes</t>
  </si>
  <si>
    <t>OUT OF SCOPE</t>
  </si>
  <si>
    <r>
      <rPr>
        <b/>
        <sz val="11"/>
        <color rgb="FF000000"/>
        <rFont val="Aptos Narrow"/>
        <scheme val="minor"/>
      </rPr>
      <t xml:space="preserve">ID*
</t>
    </r>
    <r>
      <rPr>
        <sz val="11"/>
        <color rgb="FF000000"/>
        <rFont val="Aptos Narrow"/>
        <scheme val="minor"/>
      </rPr>
      <t xml:space="preserve">The unique identifier for the requirement. IDs are short, meaningless (they do not contain context like section numbers), and numeric. An approach is incrementing integers. See below for how to handle IDs for child requirements.
</t>
    </r>
    <r>
      <rPr>
        <i/>
        <sz val="11"/>
        <color rgb="FF000000"/>
        <rFont val="Aptos Narrow"/>
        <scheme val="minor"/>
      </rPr>
      <t xml:space="preserve">Mapping: ID -&gt; Requirements.statement.key
</t>
    </r>
    <r>
      <rPr>
        <b/>
        <sz val="11"/>
        <color rgb="FF000000"/>
        <rFont val="Aptos Narrow"/>
        <scheme val="minor"/>
      </rPr>
      <t xml:space="preserve">URL*
</t>
    </r>
    <r>
      <rPr>
        <sz val="11"/>
        <color rgb="FF000000"/>
        <rFont val="Aptos Narrow"/>
        <scheme val="minor"/>
      </rPr>
      <t xml:space="preserve">The URL of the deepest section that contains the requirement. The URL provides context for the requirement text.
</t>
    </r>
    <r>
      <rPr>
        <i/>
        <sz val="11"/>
        <color rgb="FF000000"/>
        <rFont val="Aptos Narrow"/>
        <scheme val="minor"/>
      </rPr>
      <t xml:space="preserve">Mapping: URL -&gt; </t>
    </r>
    <r>
      <rPr>
        <b/>
        <sz val="11"/>
        <color rgb="FF000000"/>
        <rFont val="Aptos Narrow"/>
        <scheme val="minor"/>
      </rPr>
      <t xml:space="preserve"> </t>
    </r>
    <r>
      <rPr>
        <i/>
        <sz val="11"/>
        <color rgb="FF000000"/>
        <rFont val="Aptos Narrow"/>
        <scheme val="minor"/>
      </rPr>
      <t xml:space="preserve">Requirements.statement.reference
</t>
    </r>
    <r>
      <rPr>
        <b/>
        <sz val="11"/>
        <color rgb="FF000000"/>
        <rFont val="Aptos Narrow"/>
        <scheme val="minor"/>
      </rPr>
      <t xml:space="preserve">Requirement*
</t>
    </r>
    <r>
      <rPr>
        <sz val="11"/>
        <color rgb="FF000000"/>
        <rFont val="Aptos Narrow"/>
        <scheme val="minor"/>
      </rPr>
      <t xml:space="preserve">A direct quote from the IG. Add any clarifications or interpretations in a helper column like the </t>
    </r>
    <r>
      <rPr>
        <b/>
        <sz val="11"/>
        <color rgb="FF000000"/>
        <rFont val="Aptos Narrow"/>
        <scheme val="minor"/>
      </rPr>
      <t>Test Plan</t>
    </r>
    <r>
      <rPr>
        <sz val="11"/>
        <color rgb="FF000000"/>
        <rFont val="Aptos Narrow"/>
        <scheme val="minor"/>
      </rPr>
      <t xml:space="preserve"> column. May include helpful context in square brackets.
</t>
    </r>
    <r>
      <rPr>
        <i/>
        <sz val="11"/>
        <color rgb="FF000000"/>
        <rFont val="Aptos Narrow"/>
        <scheme val="minor"/>
      </rPr>
      <t xml:space="preserve">Mapping: Requirement -&gt; Requirements.statement.requirement
</t>
    </r>
    <r>
      <rPr>
        <b/>
        <sz val="11"/>
        <color rgb="FF000000"/>
        <rFont val="Aptos Narrow"/>
        <scheme val="minor"/>
      </rPr>
      <t xml:space="preserve">Conformance*
</t>
    </r>
    <r>
      <rPr>
        <sz val="11"/>
        <color rgb="FF000000"/>
        <rFont val="Aptos Narrow"/>
        <scheme val="minor"/>
      </rPr>
      <t xml:space="preserve">The conformance verb of the requirement: SHALL, SHOULD, MAY, SHOULD NOT, SHALL NOT and DEPRECATED (see </t>
    </r>
    <r>
      <rPr>
        <b/>
        <sz val="11"/>
        <color rgb="FF000000"/>
        <rFont val="Aptos Narrow"/>
        <scheme val="minor"/>
      </rPr>
      <t>Further Consideration</t>
    </r>
    <r>
      <rPr>
        <sz val="11"/>
        <color rgb="FF000000"/>
        <rFont val="Aptos Narrow"/>
        <scheme val="minor"/>
      </rPr>
      <t xml:space="preserve"> below for when to use DEPRECATED).
</t>
    </r>
    <r>
      <rPr>
        <i/>
        <sz val="11"/>
        <color rgb="FF000000"/>
        <rFont val="Aptos Narrow"/>
        <scheme val="minor"/>
      </rPr>
      <t xml:space="preserve">Mapping: Conformance -&gt; Requirements.statement.conformance
</t>
    </r>
    <r>
      <rPr>
        <b/>
        <sz val="11"/>
        <color rgb="FF000000"/>
        <rFont val="Aptos Narrow"/>
        <scheme val="minor"/>
      </rPr>
      <t xml:space="preserve">Actor*
</t>
    </r>
    <r>
      <rPr>
        <sz val="11"/>
        <color rgb="FF000000"/>
        <rFont val="Aptos Narrow"/>
        <scheme val="minor"/>
      </rPr>
      <t xml:space="preserve">The actor, or actors, that the requirement constrains. The values will depend on the target specification, e.g., for Subscriptions (https://hl7.org/fhir/uv/subscriptions-backport/STU1.1/actors.html), Client and Server.
</t>
    </r>
    <r>
      <rPr>
        <i/>
        <sz val="11"/>
        <color rgb="FF000000"/>
        <rFont val="Aptos Narrow"/>
        <scheme val="minor"/>
      </rPr>
      <t xml:space="preserve">Mapping: Actor -&gt; Requirements.actor
</t>
    </r>
    <r>
      <rPr>
        <b/>
        <sz val="11"/>
        <color rgb="FF000000"/>
        <rFont val="Aptos Narrow"/>
        <scheme val="minor"/>
      </rPr>
      <t xml:space="preserve">Sub-requirement(s)
</t>
    </r>
    <r>
      <rPr>
        <sz val="11"/>
        <color rgb="FF000000"/>
        <rFont val="Aptos Narrow"/>
        <scheme val="minor"/>
      </rPr>
      <t xml:space="preserve">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t>
    </r>
    <r>
      <rPr>
        <i/>
        <sz val="11"/>
        <color rgb="FF000000"/>
        <rFont val="Aptos Narrow"/>
        <scheme val="minor"/>
      </rPr>
      <t xml:space="preserve">Mapping: Sub-requirements -&gt; Requirements.statement.parent
</t>
    </r>
    <r>
      <rPr>
        <b/>
        <sz val="11"/>
        <color rgb="FF000000"/>
        <rFont val="Aptos Narrow"/>
        <scheme val="minor"/>
      </rPr>
      <t xml:space="preserve">Conditionality
</t>
    </r>
    <r>
      <rPr>
        <sz val="11"/>
        <color rgb="FF000000"/>
        <rFont val="Aptos Narrow"/>
        <scheme val="minor"/>
      </rPr>
      <t xml:space="preserve">Whether or not the requirement is conditional on a prerequisite clause. An example of a conditional requirement is, "If the value is X, then the server SHALL do Y." Note: A blank value carries no information and does not indicate if </t>
    </r>
    <r>
      <rPr>
        <i/>
        <sz val="11"/>
        <color rgb="FF000000"/>
        <rFont val="Aptos Narrow"/>
        <scheme val="minor"/>
      </rPr>
      <t>Conditionality</t>
    </r>
    <r>
      <rPr>
        <sz val="11"/>
        <color rgb="FF000000"/>
        <rFont val="Aptos Narrow"/>
        <scheme val="minor"/>
      </rPr>
      <t xml:space="preserve"> is true or false.
</t>
    </r>
    <r>
      <rPr>
        <i/>
        <sz val="11"/>
        <color rgb="FF000000"/>
        <rFont val="Aptos Narrow"/>
        <scheme val="minor"/>
      </rPr>
      <t xml:space="preserve">Mapping: Conditionality -&gt; Requirements.statement.conditionality.
</t>
    </r>
    <r>
      <rPr>
        <b/>
        <sz val="11"/>
        <color rgb="FF000000"/>
        <rFont val="Aptos Narrow"/>
        <scheme val="minor"/>
      </rPr>
      <t xml:space="preserve">
Verifiable?
</t>
    </r>
    <r>
      <rPr>
        <sz val="11"/>
        <color rgb="FF000000"/>
        <rFont val="Aptos Narrow"/>
        <scheme val="minor"/>
      </rPr>
      <t xml:space="preserve">A determination as to whether this requirement can be verified:: 'No' - the requirement cannot be verified, e.g., because it is not specific enough; 'Yes' - the requirement can be verified using mechanical means or an attestation.
</t>
    </r>
    <r>
      <rPr>
        <i/>
        <sz val="11"/>
        <color rgb="FF000000"/>
        <rFont val="Aptos Narrow"/>
        <scheme val="minor"/>
      </rPr>
      <t xml:space="preserve">Mapping: none
</t>
    </r>
    <r>
      <rPr>
        <b/>
        <sz val="11"/>
        <color rgb="FF000000"/>
        <rFont val="Aptos Narrow"/>
        <scheme val="minor"/>
      </rPr>
      <t xml:space="preserve">Verifiability Details
</t>
    </r>
    <r>
      <rPr>
        <sz val="11"/>
        <color rgb="FF000000"/>
        <rFont val="Aptos Narrow"/>
        <scheme val="minor"/>
      </rPr>
      <t xml:space="preserve">Details explaining the answer in the Verifiable? column, typically providing a rationale for why a given requirement will not be tested.
</t>
    </r>
    <r>
      <rPr>
        <i/>
        <sz val="11"/>
        <color rgb="FF000000"/>
        <rFont val="Aptos Narrow"/>
        <scheme val="minor"/>
      </rPr>
      <t xml:space="preserve">Mapping: none
</t>
    </r>
    <r>
      <rPr>
        <b/>
        <sz val="11"/>
        <color rgb="FF000000"/>
        <rFont val="Aptos Narrow"/>
        <scheme val="minor"/>
      </rPr>
      <t xml:space="preserve">Planning To Test?
</t>
    </r>
    <r>
      <rPr>
        <sz val="11"/>
        <color rgb="FF000000"/>
        <rFont val="Aptos Narrow"/>
        <scheme val="minor"/>
      </rPr>
      <t xml:space="preserve">A determination as to whether this requirement will be tested. It might not be tested because it conflicts with another requirement or because it is a MAY requirement without any sub requirements.
</t>
    </r>
    <r>
      <rPr>
        <i/>
        <sz val="11"/>
        <color rgb="FF000000"/>
        <rFont val="Aptos Narrow"/>
        <scheme val="minor"/>
      </rPr>
      <t xml:space="preserve">Mapping: none
</t>
    </r>
    <r>
      <rPr>
        <b/>
        <sz val="11"/>
        <color rgb="FF000000"/>
        <rFont val="Aptos Narrow"/>
        <scheme val="minor"/>
      </rPr>
      <t xml:space="preserve">Planning To Test Details
</t>
    </r>
    <r>
      <rPr>
        <sz val="11"/>
        <color rgb="FF000000"/>
        <rFont val="Aptos Narrow"/>
        <scheme val="minor"/>
      </rPr>
      <t xml:space="preserve">Details explaining the answer in the Planning To Test? column, typically providing a rationale for why a given requirement will not be tested.
</t>
    </r>
    <r>
      <rPr>
        <i/>
        <sz val="11"/>
        <color rgb="FF000000"/>
        <rFont val="Aptos Narrow"/>
        <scheme val="minor"/>
      </rPr>
      <t>Mapping: none</t>
    </r>
  </si>
  <si>
    <t>Actors*</t>
  </si>
  <si>
    <t>JWT</t>
  </si>
  <si>
    <t>Discovery</t>
  </si>
  <si>
    <t>Tiered Oauth</t>
  </si>
  <si>
    <t>Registration</t>
  </si>
  <si>
    <t>Community Parameter</t>
  </si>
  <si>
    <t>Consumer Facing</t>
  </si>
  <si>
    <t>B2B Auth Code</t>
  </si>
  <si>
    <t>B2B Client Credentials</t>
  </si>
  <si>
    <t>B2B Auth Code, Consumer Facing</t>
  </si>
  <si>
    <t>Consumer Facing, B2B Auth Code</t>
  </si>
  <si>
    <r>
      <t xml:space="preserve">Metadata
</t>
    </r>
    <r>
      <rPr>
        <sz val="12"/>
        <color theme="1"/>
        <rFont val="Aptos Narrow"/>
        <scheme val="minor"/>
      </rPr>
      <t xml:space="preserve">The metadata provides identifying information and context for the collection of requirements. 
Filling out these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 xml:space="preserve">E.g., for  Da Vinci Payer Data Exchange (v2.0.0: STU2), Reference would be https://hl7.org/fhir/us/davinci-pdex/STU2/.
Additional metadata:
</t>
    </r>
    <r>
      <rPr>
        <b/>
        <sz val="12"/>
        <color theme="1"/>
        <rFont val="Aptos Narrow"/>
        <scheme val="minor"/>
      </rPr>
      <t>Scope</t>
    </r>
    <r>
      <rPr>
        <sz val="12"/>
        <color theme="1"/>
        <rFont val="Aptos Narrow"/>
        <scheme val="minor"/>
      </rPr>
      <t xml:space="preserve">: what requirements were extracted and which were not extracted from the source.
</t>
    </r>
    <r>
      <rPr>
        <b/>
        <sz val="12"/>
        <color theme="1"/>
        <rFont val="Aptos Narrow"/>
        <scheme val="minor"/>
      </rPr>
      <t>Groupings (Column P)</t>
    </r>
    <r>
      <rPr>
        <sz val="12"/>
        <color theme="1"/>
        <rFont val="Aptos Narrow"/>
        <scheme val="minor"/>
      </rPr>
      <t xml:space="preserve">: definitions of the Groupings in Column P of the Requirements sheet. </t>
    </r>
  </si>
  <si>
    <t>Groupings (Column P)</t>
  </si>
  <si>
    <t>- JWT: general JWT requirements from the specification home page that apply to clients and servers
- Discovery: requirements around the discovery of system capabilities.
- Community Parameter: requirements around the community parameter when performing discovery
- Registration: requirements around the registration of clients, including using a dynamic API call
- Tiered OAuth: requirements around tiered OAuth
- Consumer Facing: requirements for requesting and granting access to users using an authroization code OAuth flow
- B2B Auth Code: requirements for requesting and granting access to a system using an authorization code OAuth flow
- B2B Client Credentials: requirements for requesting and granting access to a system using a client credentials OAuth flow</t>
  </si>
  <si>
    <t>B2B Auth Code, Consumer Facing, B2B Client Credentials</t>
  </si>
  <si>
    <t>Consumer Facing, B2B Auth Code, B2B Client Credentials</t>
  </si>
  <si>
    <t>same as 229 - should be collapsed (this url already included there)</t>
  </si>
  <si>
    <t>For grouping, assumes that 172 and 229 are already collapsed so this is a client credentials requirement</t>
  </si>
  <si>
    <t>Same as 172 - should be collapsed into that one or at least have the same subrequirements</t>
  </si>
  <si>
    <t xml:space="preserve">UDAP certification framework wasn't extracted.
Only 'SHALL" and 'MUST" Statements pulled from UDAP, 'MAY` and `SHOULD` requirements were included prior to new guidance to focus on SHALL and MUST. </t>
  </si>
  <si>
    <t>for grouping, assume merged with 190, so has B2B Auth code</t>
  </si>
  <si>
    <t>For grouping, has B2B Auth code based on sub-requirements in 190</t>
  </si>
  <si>
    <t>same as 133 - for grouping, assume they are merged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</si>
</sst>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b/>
      <sz val="11"/>
      <color theme="1"/>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b/>
      <sz val="12"/>
      <color rgb="FF000000"/>
      <name val="Aptos Narrow"/>
      <scheme val="minor"/>
    </font>
    <font>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4"/>
      <color rgb="FF000000"/>
      <name val="Aptos Narrow (Body)"/>
    </font>
    <font>
      <b/>
      <sz val="14"/>
      <color theme="1"/>
      <name val="Aptos Narrow (Body)"/>
    </font>
    <font>
      <b/>
      <sz val="11"/>
      <color rgb="FF000000"/>
      <name val="Aptos Narrow"/>
      <family val="2"/>
      <scheme val="minor"/>
    </font>
    <font>
      <b/>
      <sz val="14"/>
      <color rgb="FF000000"/>
      <name val="Aptos Narrow"/>
      <scheme val="minor"/>
    </font>
    <font>
      <i/>
      <sz val="11"/>
      <color theme="1"/>
      <name val="Aptos Narrow"/>
      <scheme val="minor"/>
    </font>
    <font>
      <sz val="12"/>
      <color rgb="FF000000"/>
      <name val="Aptos Narrow"/>
      <family val="2"/>
      <scheme val="minor"/>
    </font>
    <font>
      <sz val="8"/>
      <name val="Aptos Narrow"/>
      <family val="2"/>
      <scheme val="minor"/>
    </font>
  </fonts>
  <fills count="12">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
      <patternFill patternType="solid">
        <fgColor rgb="FFFFF2CC"/>
        <bgColor rgb="FF000000"/>
      </patternFill>
    </fill>
  </fills>
  <borders count="1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theme="1"/>
      </right>
      <top/>
      <bottom style="thin">
        <color indexed="64"/>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bottom/>
      <diagonal/>
    </border>
    <border>
      <left style="thin">
        <color theme="1"/>
      </left>
      <right style="thin">
        <color theme="1"/>
      </right>
      <top/>
      <bottom style="thin">
        <color theme="1"/>
      </bottom>
      <diagonal/>
    </border>
    <border>
      <left style="thin">
        <color rgb="FFD0CECE"/>
      </left>
      <right style="thin">
        <color rgb="FFD0CECE"/>
      </right>
      <top style="thin">
        <color rgb="FFD0CECE"/>
      </top>
      <bottom style="thin">
        <color rgb="FFD0CECE"/>
      </bottom>
      <diagonal/>
    </border>
  </borders>
  <cellStyleXfs count="2">
    <xf numFmtId="0" fontId="0" fillId="0" borderId="0"/>
    <xf numFmtId="0" fontId="2" fillId="0" borderId="0" applyNumberFormat="0" applyFill="0" applyBorder="0" applyAlignment="0" applyProtection="0"/>
  </cellStyleXfs>
  <cellXfs count="46">
    <xf numFmtId="0" fontId="0" fillId="0" borderId="0" xfId="0"/>
    <xf numFmtId="0" fontId="1" fillId="2" borderId="1" xfId="0" applyFont="1" applyFill="1" applyBorder="1" applyAlignment="1">
      <alignment wrapText="1"/>
    </xf>
    <xf numFmtId="0" fontId="0" fillId="5" borderId="1" xfId="0" applyFill="1" applyBorder="1" applyAlignment="1">
      <alignment wrapText="1"/>
    </xf>
    <xf numFmtId="0" fontId="0" fillId="0" borderId="1" xfId="0" applyBorder="1" applyAlignment="1">
      <alignment wrapText="1"/>
    </xf>
    <xf numFmtId="0" fontId="0" fillId="0" borderId="0" xfId="0" applyAlignment="1">
      <alignment wrapText="1"/>
    </xf>
    <xf numFmtId="0" fontId="0" fillId="7" borderId="1" xfId="0" applyFill="1" applyBorder="1" applyAlignment="1">
      <alignment wrapText="1"/>
    </xf>
    <xf numFmtId="0" fontId="1" fillId="4" borderId="1" xfId="0" applyFont="1" applyFill="1" applyBorder="1" applyAlignment="1">
      <alignment wrapText="1"/>
    </xf>
    <xf numFmtId="0" fontId="4" fillId="0" borderId="0" xfId="0" applyFont="1"/>
    <xf numFmtId="49" fontId="0" fillId="0" borderId="0" xfId="0" applyNumberFormat="1"/>
    <xf numFmtId="0" fontId="9" fillId="0" borderId="0" xfId="0" applyFont="1" applyAlignment="1">
      <alignment wrapText="1"/>
    </xf>
    <xf numFmtId="0" fontId="9" fillId="6" borderId="6" xfId="0" applyFont="1" applyFill="1" applyBorder="1" applyAlignment="1">
      <alignment wrapText="1"/>
    </xf>
    <xf numFmtId="0" fontId="5" fillId="8" borderId="4" xfId="0" applyFont="1" applyFill="1" applyBorder="1" applyAlignment="1">
      <alignment wrapText="1"/>
    </xf>
    <xf numFmtId="0" fontId="9" fillId="0" borderId="4" xfId="0" applyFont="1" applyBorder="1" applyAlignment="1">
      <alignment wrapText="1"/>
    </xf>
    <xf numFmtId="0" fontId="9" fillId="0" borderId="2" xfId="0" applyFont="1" applyBorder="1" applyAlignment="1">
      <alignment wrapText="1"/>
    </xf>
    <xf numFmtId="0" fontId="10" fillId="8" borderId="3" xfId="0" applyFont="1" applyFill="1" applyBorder="1" applyAlignment="1">
      <alignment wrapText="1"/>
    </xf>
    <xf numFmtId="0" fontId="10" fillId="8" borderId="5" xfId="0" applyFont="1" applyFill="1" applyBorder="1" applyAlignment="1">
      <alignment wrapText="1"/>
    </xf>
    <xf numFmtId="49" fontId="9" fillId="0" borderId="0" xfId="0" applyNumberFormat="1" applyFont="1" applyAlignment="1">
      <alignment wrapText="1"/>
    </xf>
    <xf numFmtId="0" fontId="3" fillId="8" borderId="5" xfId="0" applyFont="1" applyFill="1" applyBorder="1" applyAlignment="1">
      <alignment wrapText="1"/>
    </xf>
    <xf numFmtId="0" fontId="0" fillId="9" borderId="1" xfId="0" applyFill="1" applyBorder="1" applyAlignment="1">
      <alignment wrapText="1"/>
    </xf>
    <xf numFmtId="0" fontId="1" fillId="10" borderId="1" xfId="0" applyFont="1" applyFill="1" applyBorder="1" applyAlignment="1">
      <alignment wrapText="1"/>
    </xf>
    <xf numFmtId="0" fontId="3" fillId="8" borderId="3" xfId="0" applyFont="1" applyFill="1" applyBorder="1" applyAlignment="1">
      <alignment vertical="center" wrapText="1"/>
    </xf>
    <xf numFmtId="0" fontId="3" fillId="0" borderId="0" xfId="0" applyFont="1" applyAlignment="1">
      <alignment vertical="center" wrapText="1"/>
    </xf>
    <xf numFmtId="0" fontId="9" fillId="5" borderId="9" xfId="0" applyFont="1" applyFill="1" applyBorder="1" applyAlignment="1">
      <alignment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9" fillId="7" borderId="13" xfId="0" applyFont="1" applyFill="1" applyBorder="1" applyAlignment="1">
      <alignment horizontal="center" wrapText="1"/>
    </xf>
    <xf numFmtId="0" fontId="9" fillId="9" borderId="8" xfId="0" applyFont="1" applyFill="1" applyBorder="1" applyAlignment="1">
      <alignment wrapText="1"/>
    </xf>
    <xf numFmtId="0" fontId="18" fillId="0" borderId="0" xfId="0" applyFont="1"/>
    <xf numFmtId="0" fontId="1" fillId="3" borderId="1" xfId="0" applyFont="1" applyFill="1" applyBorder="1" applyAlignment="1">
      <alignment wrapText="1"/>
    </xf>
    <xf numFmtId="0" fontId="1" fillId="0" borderId="1" xfId="0" applyFont="1" applyBorder="1" applyAlignment="1">
      <alignment wrapText="1"/>
    </xf>
    <xf numFmtId="0" fontId="2" fillId="5" borderId="1" xfId="1" applyFill="1" applyBorder="1" applyAlignment="1">
      <alignment wrapText="1"/>
    </xf>
    <xf numFmtId="0" fontId="0" fillId="6" borderId="1" xfId="0" applyFill="1" applyBorder="1" applyAlignment="1">
      <alignment wrapText="1"/>
    </xf>
    <xf numFmtId="0" fontId="2" fillId="5" borderId="0" xfId="1" applyFill="1" applyAlignment="1">
      <alignment wrapText="1"/>
    </xf>
    <xf numFmtId="0" fontId="0" fillId="5" borderId="0" xfId="0" applyFill="1" applyAlignment="1">
      <alignment wrapText="1"/>
    </xf>
    <xf numFmtId="0" fontId="18" fillId="11" borderId="14" xfId="0" applyFont="1" applyFill="1" applyBorder="1" applyAlignment="1">
      <alignment wrapText="1"/>
    </xf>
    <xf numFmtId="0" fontId="1" fillId="2" borderId="1" xfId="0" applyFont="1" applyFill="1" applyBorder="1" applyAlignment="1">
      <alignment vertical="top" wrapText="1"/>
    </xf>
    <xf numFmtId="0" fontId="0" fillId="5" borderId="1" xfId="0" applyFill="1" applyBorder="1" applyAlignment="1">
      <alignment vertical="top" wrapText="1"/>
    </xf>
    <xf numFmtId="0" fontId="2" fillId="0" borderId="0" xfId="1"/>
    <xf numFmtId="49" fontId="0" fillId="0" borderId="0" xfId="0" applyNumberFormat="1" applyAlignment="1">
      <alignment wrapText="1"/>
    </xf>
    <xf numFmtId="49" fontId="0" fillId="0" borderId="0" xfId="0" quotePrefix="1" applyNumberFormat="1" applyAlignment="1">
      <alignment wrapText="1"/>
    </xf>
    <xf numFmtId="0" fontId="11" fillId="8" borderId="7" xfId="0" applyFont="1" applyFill="1" applyBorder="1" applyAlignment="1">
      <alignment wrapText="1"/>
    </xf>
    <xf numFmtId="0" fontId="15" fillId="8" borderId="5" xfId="0" applyFont="1" applyFill="1" applyBorder="1" applyAlignment="1">
      <alignment wrapText="1"/>
    </xf>
    <xf numFmtId="0" fontId="11" fillId="8" borderId="5" xfId="0" applyFont="1" applyFill="1" applyBorder="1" applyAlignment="1">
      <alignment wrapText="1"/>
    </xf>
    <xf numFmtId="0" fontId="9" fillId="7" borderId="6" xfId="0" applyFont="1" applyFill="1" applyBorder="1" applyAlignment="1">
      <alignment horizontal="center" wrapText="1"/>
    </xf>
    <xf numFmtId="0" fontId="9" fillId="7" borderId="12" xfId="0" applyFont="1" applyFill="1" applyBorder="1" applyAlignment="1">
      <alignment horizontal="center" wrapText="1"/>
    </xf>
    <xf numFmtId="0" fontId="4" fillId="8"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openid.net/specs/openid-connect-core-1_0.html" TargetMode="External"/><Relationship Id="rId21" Type="http://schemas.openxmlformats.org/officeDocument/2006/relationships/hyperlink" Target="https://hl7.org/fhir/us/udap-security/STU1/consumer.html" TargetMode="External"/><Relationship Id="rId42" Type="http://schemas.openxmlformats.org/officeDocument/2006/relationships/hyperlink" Target="https://hl7.org/fhir/us/udap-security/STU1/b2b.html" TargetMode="External"/><Relationship Id="rId63" Type="http://schemas.openxmlformats.org/officeDocument/2006/relationships/hyperlink" Target="https://hl7.org/fhir/us/udap-security/STU1/user.html" TargetMode="External"/><Relationship Id="rId84" Type="http://schemas.openxmlformats.org/officeDocument/2006/relationships/hyperlink" Target="https://www.udap.org/udap-dynamic-client-registration-stu1.html" TargetMode="External"/><Relationship Id="rId138" Type="http://schemas.openxmlformats.org/officeDocument/2006/relationships/hyperlink" Target="https://hl7.org/fhir/us/udap-security/STU1/consumer.html" TargetMode="External"/><Relationship Id="rId107" Type="http://schemas.openxmlformats.org/officeDocument/2006/relationships/hyperlink" Target="https://hl7.org/fhir/us/udap-security/STU1/b2b.html" TargetMode="External"/><Relationship Id="rId11" Type="http://schemas.openxmlformats.org/officeDocument/2006/relationships/hyperlink" Target="https://hl7.org/fhir/us/udap-security/STU1/registration.html" TargetMode="External"/><Relationship Id="rId32" Type="http://schemas.openxmlformats.org/officeDocument/2006/relationships/hyperlink" Target="https://hl7.org/fhir/us/udap-security/STU1/consumer.html" TargetMode="External"/><Relationship Id="rId53" Type="http://schemas.openxmlformats.org/officeDocument/2006/relationships/hyperlink" Target="https://hl7.org/fhir/us/udap-security/STU1/b2b.html" TargetMode="External"/><Relationship Id="rId74" Type="http://schemas.openxmlformats.org/officeDocument/2006/relationships/hyperlink" Target="https://hl7.org/fhir/us/udap-security/STU1/user.html" TargetMode="External"/><Relationship Id="rId128" Type="http://schemas.openxmlformats.org/officeDocument/2006/relationships/hyperlink" Target="https://hl7.org/fhir/us/udap-security/STU1/user.html" TargetMode="External"/><Relationship Id="rId149" Type="http://schemas.openxmlformats.org/officeDocument/2006/relationships/hyperlink" Target="https://datatracker.ietf.org/doc/html/rfc6749" TargetMode="External"/><Relationship Id="rId5" Type="http://schemas.openxmlformats.org/officeDocument/2006/relationships/hyperlink" Target="https://hl7.org/fhir/us/udap-security/STU1/" TargetMode="External"/><Relationship Id="rId95" Type="http://schemas.openxmlformats.org/officeDocument/2006/relationships/hyperlink" Target="https://hl7.org/fhir/us/udap-security/STU1/user.html" TargetMode="External"/><Relationship Id="rId22" Type="http://schemas.openxmlformats.org/officeDocument/2006/relationships/hyperlink" Target="https://hl7.org/fhir/us/udap-security/STU1/consumer.html" TargetMode="External"/><Relationship Id="rId27" Type="http://schemas.openxmlformats.org/officeDocument/2006/relationships/hyperlink" Target="https://hl7.org/fhir/us/udap-security/STU1/consumer.html" TargetMode="External"/><Relationship Id="rId43" Type="http://schemas.openxmlformats.org/officeDocument/2006/relationships/hyperlink" Target="https://hl7.org/fhir/us/udap-security/STU1/b2b.html" TargetMode="External"/><Relationship Id="rId48" Type="http://schemas.openxmlformats.org/officeDocument/2006/relationships/hyperlink" Target="https://hl7.org/fhir/us/udap-security/STU1/b2b.html" TargetMode="External"/><Relationship Id="rId64" Type="http://schemas.openxmlformats.org/officeDocument/2006/relationships/hyperlink" Target="https://hl7.org/fhir/us/udap-security/STU1/user.html" TargetMode="External"/><Relationship Id="rId69" Type="http://schemas.openxmlformats.org/officeDocument/2006/relationships/hyperlink" Target="https://hl7.org/fhir/us/udap-security/STU1/user.html" TargetMode="External"/><Relationship Id="rId113" Type="http://schemas.openxmlformats.org/officeDocument/2006/relationships/hyperlink" Target="https://openid.net/specs/openid-connect-core-1_0.html" TargetMode="External"/><Relationship Id="rId118" Type="http://schemas.openxmlformats.org/officeDocument/2006/relationships/hyperlink" Target="https://openid.net/specs/openid-connect-core-1_0.html" TargetMode="External"/><Relationship Id="rId134" Type="http://schemas.openxmlformats.org/officeDocument/2006/relationships/hyperlink" Target="https://www.udap.org/udap-jwt-client-auth.html" TargetMode="External"/><Relationship Id="rId139" Type="http://schemas.openxmlformats.org/officeDocument/2006/relationships/hyperlink" Target="https://hl7.org/fhir/us/udap-security/STU1/b2b.html" TargetMode="External"/><Relationship Id="rId80" Type="http://schemas.openxmlformats.org/officeDocument/2006/relationships/hyperlink" Target="https://hl7.org/fhir/us/udap-security/STU1/b2b.html" TargetMode="External"/><Relationship Id="rId85" Type="http://schemas.openxmlformats.org/officeDocument/2006/relationships/hyperlink" Target="https://datatracker.ietf.org/doc/html/rfc6749" TargetMode="External"/><Relationship Id="rId150" Type="http://schemas.openxmlformats.org/officeDocument/2006/relationships/hyperlink" Target="https://datatracker.ietf.org/doc/html/rfc6749" TargetMode="External"/><Relationship Id="rId12" Type="http://schemas.openxmlformats.org/officeDocument/2006/relationships/hyperlink" Target="https://hl7.org/fhir/us/udap-security/STU1/registration.html" TargetMode="External"/><Relationship Id="rId17" Type="http://schemas.openxmlformats.org/officeDocument/2006/relationships/hyperlink" Target="https://hl7.org/fhir/us/udap-security/STU1/registration.html" TargetMode="External"/><Relationship Id="rId33" Type="http://schemas.openxmlformats.org/officeDocument/2006/relationships/hyperlink" Target="https://hl7.org/fhir/us/udap-security/STU1/consumer.html" TargetMode="External"/><Relationship Id="rId38" Type="http://schemas.openxmlformats.org/officeDocument/2006/relationships/hyperlink" Target="https://hl7.org/fhir/us/udap-security/STU1/b2b.html" TargetMode="External"/><Relationship Id="rId59" Type="http://schemas.openxmlformats.org/officeDocument/2006/relationships/hyperlink" Target="https://hl7.org/fhir/us/udap-security/STU1/b2b.html" TargetMode="External"/><Relationship Id="rId103" Type="http://schemas.openxmlformats.org/officeDocument/2006/relationships/hyperlink" Target="https://hl7.org/fhir/us/udap-security/STU1/b2b.html" TargetMode="External"/><Relationship Id="rId108" Type="http://schemas.openxmlformats.org/officeDocument/2006/relationships/hyperlink" Target="https://hl7.org/fhir/us/udap-security/STU1/b2b.html" TargetMode="External"/><Relationship Id="rId124" Type="http://schemas.openxmlformats.org/officeDocument/2006/relationships/hyperlink" Target="https://hl7.org/fhir/us/udap-security/STU1/user.html" TargetMode="External"/><Relationship Id="rId129" Type="http://schemas.openxmlformats.org/officeDocument/2006/relationships/hyperlink" Target="https://www.udap.org/udap-jwt-client-auth.html" TargetMode="External"/><Relationship Id="rId54" Type="http://schemas.openxmlformats.org/officeDocument/2006/relationships/hyperlink" Target="https://hl7.org/fhir/us/udap-security/STU1/b2b.html" TargetMode="External"/><Relationship Id="rId70" Type="http://schemas.openxmlformats.org/officeDocument/2006/relationships/hyperlink" Target="https://hl7.org/fhir/us/udap-security/STU1/user.html" TargetMode="External"/><Relationship Id="rId75" Type="http://schemas.openxmlformats.org/officeDocument/2006/relationships/hyperlink" Target="https://hl7.org/fhir/us/udap-security/STU1/user.html" TargetMode="External"/><Relationship Id="rId91" Type="http://schemas.openxmlformats.org/officeDocument/2006/relationships/hyperlink" Target="https://datatracker.ietf.org/doc/html/rfc6749" TargetMode="External"/><Relationship Id="rId96" Type="http://schemas.openxmlformats.org/officeDocument/2006/relationships/hyperlink" Target="https://hl7.org/fhir/us/udap-security/STU1/consumer.html" TargetMode="External"/><Relationship Id="rId140" Type="http://schemas.openxmlformats.org/officeDocument/2006/relationships/hyperlink" Target="https://hl7.org/fhir/us/udap-security/STU1/b2b.html" TargetMode="External"/><Relationship Id="rId145" Type="http://schemas.openxmlformats.org/officeDocument/2006/relationships/hyperlink" Target="mailto:hl7.fhir.us.udap-security_1.0.0@173-183" TargetMode="External"/><Relationship Id="rId1" Type="http://schemas.openxmlformats.org/officeDocument/2006/relationships/hyperlink" Target="https://hl7.org/fhir/us/udap-security/STU1/" TargetMode="External"/><Relationship Id="rId6" Type="http://schemas.openxmlformats.org/officeDocument/2006/relationships/hyperlink" Target="https://hl7.org/fhir/us/udap-security/STU1/" TargetMode="External"/><Relationship Id="rId23" Type="http://schemas.openxmlformats.org/officeDocument/2006/relationships/hyperlink" Target="https://hl7.org/fhir/us/udap-security/STU1/consumer.html" TargetMode="External"/><Relationship Id="rId28" Type="http://schemas.openxmlformats.org/officeDocument/2006/relationships/hyperlink" Target="https://hl7.org/fhir/us/udap-security/STU1/consumer.html" TargetMode="External"/><Relationship Id="rId49" Type="http://schemas.openxmlformats.org/officeDocument/2006/relationships/hyperlink" Target="https://hl7.org/fhir/us/udap-security/STU1/b2b.html" TargetMode="External"/><Relationship Id="rId114" Type="http://schemas.openxmlformats.org/officeDocument/2006/relationships/hyperlink" Target="https://openid.net/specs/openid-connect-core-1_0.html" TargetMode="External"/><Relationship Id="rId119" Type="http://schemas.openxmlformats.org/officeDocument/2006/relationships/hyperlink" Target="https://openid.net/specs/openid-connect-core-1_0.html" TargetMode="External"/><Relationship Id="rId44" Type="http://schemas.openxmlformats.org/officeDocument/2006/relationships/hyperlink" Target="https://hl7.org/fhir/us/udap-security/STU1/b2b.html" TargetMode="External"/><Relationship Id="rId60" Type="http://schemas.openxmlformats.org/officeDocument/2006/relationships/hyperlink" Target="https://hl7.org/fhir/us/udap-security/STU1/b2b.html" TargetMode="External"/><Relationship Id="rId65" Type="http://schemas.openxmlformats.org/officeDocument/2006/relationships/hyperlink" Target="https://hl7.org/fhir/us/udap-security/STU1/user.html" TargetMode="External"/><Relationship Id="rId81" Type="http://schemas.openxmlformats.org/officeDocument/2006/relationships/hyperlink" Target="https://www.udap.org/udap-dynamic-client-registration-stu1.html" TargetMode="External"/><Relationship Id="rId86" Type="http://schemas.openxmlformats.org/officeDocument/2006/relationships/hyperlink" Target="https://datatracker.ietf.org/doc/html/rfc6749" TargetMode="External"/><Relationship Id="rId130" Type="http://schemas.openxmlformats.org/officeDocument/2006/relationships/hyperlink" Target="https://www.udap.org/udap-jwt-client-auth.html" TargetMode="External"/><Relationship Id="rId135" Type="http://schemas.openxmlformats.org/officeDocument/2006/relationships/hyperlink" Target="https://hl7.org/fhir/us/udap-security/STU1/b2b.html" TargetMode="External"/><Relationship Id="rId151" Type="http://schemas.openxmlformats.org/officeDocument/2006/relationships/hyperlink" Target="https://datatracker.ietf.org/doc/html/rfc6749" TargetMode="External"/><Relationship Id="rId13" Type="http://schemas.openxmlformats.org/officeDocument/2006/relationships/hyperlink" Target="https://hl7.org/fhir/us/udap-security/STU1/registration.html" TargetMode="External"/><Relationship Id="rId18" Type="http://schemas.openxmlformats.org/officeDocument/2006/relationships/hyperlink" Target="https://hl7.org/fhir/us/udap-security/STU1/registration.html" TargetMode="External"/><Relationship Id="rId39" Type="http://schemas.openxmlformats.org/officeDocument/2006/relationships/hyperlink" Target="https://hl7.org/fhir/us/udap-security/STU1/b2b.html" TargetMode="External"/><Relationship Id="rId109" Type="http://schemas.openxmlformats.org/officeDocument/2006/relationships/hyperlink" Target="https://hl7.org/fhir/us/udap-security/STU1/b2b.html" TargetMode="External"/><Relationship Id="rId34" Type="http://schemas.openxmlformats.org/officeDocument/2006/relationships/hyperlink" Target="https://hl7.org/fhir/us/udap-security/STU1/consumer.html" TargetMode="External"/><Relationship Id="rId50" Type="http://schemas.openxmlformats.org/officeDocument/2006/relationships/hyperlink" Target="https://hl7.org/fhir/us/udap-security/STU1/b2b.html" TargetMode="External"/><Relationship Id="rId55" Type="http://schemas.openxmlformats.org/officeDocument/2006/relationships/hyperlink" Target="https://hl7.org/fhir/us/udap-security/STU1/b2b.html" TargetMode="External"/><Relationship Id="rId76" Type="http://schemas.openxmlformats.org/officeDocument/2006/relationships/hyperlink" Target="https://hl7.org/fhir/us/udap-security/STU1/user.html" TargetMode="External"/><Relationship Id="rId97" Type="http://schemas.openxmlformats.org/officeDocument/2006/relationships/hyperlink" Target="https://hl7.org/fhir/us/udap-security/STU1/consumer.html" TargetMode="External"/><Relationship Id="rId104" Type="http://schemas.openxmlformats.org/officeDocument/2006/relationships/hyperlink" Target="https://hl7.org/fhir/us/udap-security/STU1/b2b.html" TargetMode="External"/><Relationship Id="rId120" Type="http://schemas.openxmlformats.org/officeDocument/2006/relationships/hyperlink" Target="https://www.udap.org/udap-user-auth-stu1.html" TargetMode="External"/><Relationship Id="rId125" Type="http://schemas.openxmlformats.org/officeDocument/2006/relationships/hyperlink" Target="https://hl7.org/fhir/us/udap-security/STU1/b2b.html" TargetMode="External"/><Relationship Id="rId141" Type="http://schemas.openxmlformats.org/officeDocument/2006/relationships/hyperlink" Target="mailto:hl7.fhir.us.udap-security_1.0.0@141-150" TargetMode="External"/><Relationship Id="rId146" Type="http://schemas.openxmlformats.org/officeDocument/2006/relationships/hyperlink" Target="mailto:hl7.fhir.us.udap-security_1.0.0@134-139" TargetMode="External"/><Relationship Id="rId7" Type="http://schemas.openxmlformats.org/officeDocument/2006/relationships/hyperlink" Target="https://hl7.org/fhir/us/udap-security/STU1/" TargetMode="External"/><Relationship Id="rId71" Type="http://schemas.openxmlformats.org/officeDocument/2006/relationships/hyperlink" Target="https://hl7.org/fhir/us/udap-security/STU1/user.html" TargetMode="External"/><Relationship Id="rId92" Type="http://schemas.openxmlformats.org/officeDocument/2006/relationships/hyperlink" Target="https://datatracker.ietf.org/doc/html/rfc6749" TargetMode="External"/><Relationship Id="rId2" Type="http://schemas.openxmlformats.org/officeDocument/2006/relationships/hyperlink" Target="https://hl7.org/fhir/us/udap-security/STU1/discovery.html" TargetMode="External"/><Relationship Id="rId29" Type="http://schemas.openxmlformats.org/officeDocument/2006/relationships/hyperlink" Target="https://hl7.org/fhir/us/udap-security/STU1/consumer.html" TargetMode="External"/><Relationship Id="rId24" Type="http://schemas.openxmlformats.org/officeDocument/2006/relationships/hyperlink" Target="https://hl7.org/fhir/us/udap-security/STU1/consumer.html" TargetMode="External"/><Relationship Id="rId40" Type="http://schemas.openxmlformats.org/officeDocument/2006/relationships/hyperlink" Target="https://hl7.org/fhir/us/udap-security/STU1/b2b.html" TargetMode="External"/><Relationship Id="rId45" Type="http://schemas.openxmlformats.org/officeDocument/2006/relationships/hyperlink" Target="https://hl7.org/fhir/us/udap-security/STU1/b2b.html" TargetMode="External"/><Relationship Id="rId66" Type="http://schemas.openxmlformats.org/officeDocument/2006/relationships/hyperlink" Target="https://hl7.org/fhir/us/udap-security/STU1/user.html" TargetMode="External"/><Relationship Id="rId87" Type="http://schemas.openxmlformats.org/officeDocument/2006/relationships/hyperlink" Target="https://hl7.org/fhir/us/udap-security/STU1/consumer.html" TargetMode="External"/><Relationship Id="rId110" Type="http://schemas.openxmlformats.org/officeDocument/2006/relationships/hyperlink" Target="https://hl7.org/fhir/us/udap-security/STU1/b2b.html" TargetMode="External"/><Relationship Id="rId115" Type="http://schemas.openxmlformats.org/officeDocument/2006/relationships/hyperlink" Target="https://openid.net/specs/openid-connect-core-1_0.html" TargetMode="External"/><Relationship Id="rId131" Type="http://schemas.openxmlformats.org/officeDocument/2006/relationships/hyperlink" Target="https://www.udap.org/udap-jwt-client-auth.html" TargetMode="External"/><Relationship Id="rId136" Type="http://schemas.openxmlformats.org/officeDocument/2006/relationships/hyperlink" Target="https://datatracker.ietf.org/doc/html/rfc6749" TargetMode="External"/><Relationship Id="rId61" Type="http://schemas.openxmlformats.org/officeDocument/2006/relationships/hyperlink" Target="https://hl7.org/fhir/us/udap-security/STU1/b2b.html" TargetMode="External"/><Relationship Id="rId82" Type="http://schemas.openxmlformats.org/officeDocument/2006/relationships/hyperlink" Target="https://www.udap.org/udap-dynamic-client-registration-stu1.html" TargetMode="External"/><Relationship Id="rId152" Type="http://schemas.openxmlformats.org/officeDocument/2006/relationships/hyperlink" Target="https://datatracker.ietf.org/doc/html/rfc6749" TargetMode="External"/><Relationship Id="rId19" Type="http://schemas.openxmlformats.org/officeDocument/2006/relationships/hyperlink" Target="https://hl7.org/fhir/us/udap-security/STU1/registration.html" TargetMode="External"/><Relationship Id="rId14" Type="http://schemas.openxmlformats.org/officeDocument/2006/relationships/hyperlink" Target="https://hl7.org/fhir/us/udap-security/STU1/registration.html" TargetMode="External"/><Relationship Id="rId30" Type="http://schemas.openxmlformats.org/officeDocument/2006/relationships/hyperlink" Target="https://hl7.org/fhir/us/udap-security/STU1/consumer.html" TargetMode="External"/><Relationship Id="rId35" Type="http://schemas.openxmlformats.org/officeDocument/2006/relationships/hyperlink" Target="https://hl7.org/fhir/us/udap-security/STU1/consumer.html" TargetMode="External"/><Relationship Id="rId56" Type="http://schemas.openxmlformats.org/officeDocument/2006/relationships/hyperlink" Target="https://hl7.org/fhir/us/udap-security/STU1/b2b.html" TargetMode="External"/><Relationship Id="rId77" Type="http://schemas.openxmlformats.org/officeDocument/2006/relationships/hyperlink" Target="https://hl7.org/fhir/us/udap-security/STU1/discovery.html" TargetMode="External"/><Relationship Id="rId100" Type="http://schemas.openxmlformats.org/officeDocument/2006/relationships/hyperlink" Target="https://www.udap.org/udap-jwt-client-auth.html" TargetMode="External"/><Relationship Id="rId105" Type="http://schemas.openxmlformats.org/officeDocument/2006/relationships/hyperlink" Target="https://hl7.org/fhir/us/udap-security/STU1/b2b.html" TargetMode="External"/><Relationship Id="rId126" Type="http://schemas.openxmlformats.org/officeDocument/2006/relationships/hyperlink" Target="https://hl7.org/fhir/us/udap-security/STU1/user.html" TargetMode="External"/><Relationship Id="rId147" Type="http://schemas.openxmlformats.org/officeDocument/2006/relationships/hyperlink" Target="mailto:hl7.fhir.us.udap-security_1.0.0@128-129" TargetMode="External"/><Relationship Id="rId8" Type="http://schemas.openxmlformats.org/officeDocument/2006/relationships/hyperlink" Target="https://hl7.org/fhir/us/udap-security/STU1/" TargetMode="External"/><Relationship Id="rId51" Type="http://schemas.openxmlformats.org/officeDocument/2006/relationships/hyperlink" Target="https://hl7.org/fhir/us/udap-security/STU1/b2b.html" TargetMode="External"/><Relationship Id="rId72" Type="http://schemas.openxmlformats.org/officeDocument/2006/relationships/hyperlink" Target="https://hl7.org/fhir/us/udap-security/STU1/user.html" TargetMode="External"/><Relationship Id="rId93" Type="http://schemas.openxmlformats.org/officeDocument/2006/relationships/hyperlink" Target="https://datatracker.ietf.org/doc/html/rfc6749" TargetMode="External"/><Relationship Id="rId98" Type="http://schemas.openxmlformats.org/officeDocument/2006/relationships/hyperlink" Target="https://www.udap.org/udap-jwt-client-auth.html" TargetMode="External"/><Relationship Id="rId121" Type="http://schemas.openxmlformats.org/officeDocument/2006/relationships/hyperlink" Target="https://www.udap.org/udap-user-auth-stu1.html" TargetMode="External"/><Relationship Id="rId142" Type="http://schemas.openxmlformats.org/officeDocument/2006/relationships/hyperlink" Target="mailto:hl7.fhir.us.udap-security_1.0.0@128-129" TargetMode="External"/><Relationship Id="rId3" Type="http://schemas.openxmlformats.org/officeDocument/2006/relationships/hyperlink" Target="https://hl7.org/fhir/us/udap-security/STU1/discovery.html" TargetMode="External"/><Relationship Id="rId25" Type="http://schemas.openxmlformats.org/officeDocument/2006/relationships/hyperlink" Target="https://hl7.org/fhir/us/udap-security/STU1/consumer.html" TargetMode="External"/><Relationship Id="rId46" Type="http://schemas.openxmlformats.org/officeDocument/2006/relationships/hyperlink" Target="https://hl7.org/fhir/us/udap-security/STU1/b2b.html" TargetMode="External"/><Relationship Id="rId67" Type="http://schemas.openxmlformats.org/officeDocument/2006/relationships/hyperlink" Target="https://hl7.org/fhir/us/udap-security/STU1/user.html" TargetMode="External"/><Relationship Id="rId116" Type="http://schemas.openxmlformats.org/officeDocument/2006/relationships/hyperlink" Target="https://openid.net/specs/openid-connect-core-1_0.html" TargetMode="External"/><Relationship Id="rId137" Type="http://schemas.openxmlformats.org/officeDocument/2006/relationships/hyperlink" Target="https://datatracker.ietf.org/doc/html/rfc6749" TargetMode="External"/><Relationship Id="rId20" Type="http://schemas.openxmlformats.org/officeDocument/2006/relationships/hyperlink" Target="https://hl7.org/fhir/us/udap-security/STU1/consumer.html" TargetMode="External"/><Relationship Id="rId41" Type="http://schemas.openxmlformats.org/officeDocument/2006/relationships/hyperlink" Target="https://hl7.org/fhir/us/udap-security/STU1/b2b.html" TargetMode="External"/><Relationship Id="rId62" Type="http://schemas.openxmlformats.org/officeDocument/2006/relationships/hyperlink" Target="https://hl7.org/fhir/us/udap-security/STU1/b2b.html" TargetMode="External"/><Relationship Id="rId83" Type="http://schemas.openxmlformats.org/officeDocument/2006/relationships/hyperlink" Target="https://www.udap.org/udap-dynamic-client-registration-stu1.html" TargetMode="External"/><Relationship Id="rId88" Type="http://schemas.openxmlformats.org/officeDocument/2006/relationships/hyperlink" Target="https://hl7.org/fhir/us/udap-security/STU1/consumer.html" TargetMode="External"/><Relationship Id="rId111" Type="http://schemas.openxmlformats.org/officeDocument/2006/relationships/hyperlink" Target="https://hl7.org/fhir/us/udap-security/STU1/user.html" TargetMode="External"/><Relationship Id="rId132" Type="http://schemas.openxmlformats.org/officeDocument/2006/relationships/hyperlink" Target="https://www.udap.org/udap-jwt-client-auth.html" TargetMode="External"/><Relationship Id="rId153" Type="http://schemas.openxmlformats.org/officeDocument/2006/relationships/hyperlink" Target="https://www.udap.org/udap-user-auth-stu1.html" TargetMode="External"/><Relationship Id="rId15" Type="http://schemas.openxmlformats.org/officeDocument/2006/relationships/hyperlink" Target="https://hl7.org/fhir/us/udap-security/STU1/registration.html" TargetMode="External"/><Relationship Id="rId36" Type="http://schemas.openxmlformats.org/officeDocument/2006/relationships/hyperlink" Target="https://hl7.org/fhir/us/udap-security/STU1/consumer.html" TargetMode="External"/><Relationship Id="rId57" Type="http://schemas.openxmlformats.org/officeDocument/2006/relationships/hyperlink" Target="https://hl7.org/fhir/us/udap-security/STU1/b2b.html" TargetMode="External"/><Relationship Id="rId106" Type="http://schemas.openxmlformats.org/officeDocument/2006/relationships/hyperlink" Target="https://hl7.org/fhir/us/udap-security/STU1/b2b.html" TargetMode="External"/><Relationship Id="rId127" Type="http://schemas.openxmlformats.org/officeDocument/2006/relationships/hyperlink" Target="https://hl7.org/fhir/us/udap-security/STU1/user.html" TargetMode="External"/><Relationship Id="rId10" Type="http://schemas.openxmlformats.org/officeDocument/2006/relationships/hyperlink" Target="https://hl7.org/fhir/us/udap-security/STU1/registration.html" TargetMode="External"/><Relationship Id="rId31" Type="http://schemas.openxmlformats.org/officeDocument/2006/relationships/hyperlink" Target="https://hl7.org/fhir/us/udap-security/STU1/consumer.html" TargetMode="External"/><Relationship Id="rId52" Type="http://schemas.openxmlformats.org/officeDocument/2006/relationships/hyperlink" Target="https://hl7.org/fhir/us/udap-security/STU1/b2b.html" TargetMode="External"/><Relationship Id="rId73" Type="http://schemas.openxmlformats.org/officeDocument/2006/relationships/hyperlink" Target="https://hl7.org/fhir/us/udap-security/STU1/user.html" TargetMode="External"/><Relationship Id="rId78" Type="http://schemas.openxmlformats.org/officeDocument/2006/relationships/hyperlink" Target="https://hl7.org/fhir/us/udap-security/STU1/registration.html" TargetMode="External"/><Relationship Id="rId94" Type="http://schemas.openxmlformats.org/officeDocument/2006/relationships/hyperlink" Target="https://datatracker.ietf.org/doc/html/rfc6749" TargetMode="External"/><Relationship Id="rId99" Type="http://schemas.openxmlformats.org/officeDocument/2006/relationships/hyperlink" Target="https://www.udap.org/udap-jwt-client-auth.html" TargetMode="External"/><Relationship Id="rId101" Type="http://schemas.openxmlformats.org/officeDocument/2006/relationships/hyperlink" Target="https://www.udap.org/udap-jwt-client-auth.html" TargetMode="External"/><Relationship Id="rId122" Type="http://schemas.openxmlformats.org/officeDocument/2006/relationships/hyperlink" Target="https://www.udap.org/udap-user-auth-stu1.html" TargetMode="External"/><Relationship Id="rId143" Type="http://schemas.openxmlformats.org/officeDocument/2006/relationships/hyperlink" Target="mailto:hl7.fhir.us.udap-security_1.0.0@134-139" TargetMode="External"/><Relationship Id="rId148" Type="http://schemas.openxmlformats.org/officeDocument/2006/relationships/hyperlink" Target="https://openid.net/specs/openid-connect-core-1_0.html" TargetMode="External"/><Relationship Id="rId4" Type="http://schemas.openxmlformats.org/officeDocument/2006/relationships/hyperlink" Target="https://hl7.org/fhir/us/udap-security/STU1/" TargetMode="External"/><Relationship Id="rId9" Type="http://schemas.openxmlformats.org/officeDocument/2006/relationships/hyperlink" Target="https://hl7.org/fhir/us/udap-security/STU1/discovery.html" TargetMode="External"/><Relationship Id="rId26" Type="http://schemas.openxmlformats.org/officeDocument/2006/relationships/hyperlink" Target="https://hl7.org/fhir/us/udap-security/STU1/consumer.html" TargetMode="External"/><Relationship Id="rId47" Type="http://schemas.openxmlformats.org/officeDocument/2006/relationships/hyperlink" Target="https://hl7.org/fhir/us/udap-security/STU1/b2b.html" TargetMode="External"/><Relationship Id="rId68" Type="http://schemas.openxmlformats.org/officeDocument/2006/relationships/hyperlink" Target="https://hl7.org/fhir/us/udap-security/STU1/user.html" TargetMode="External"/><Relationship Id="rId89" Type="http://schemas.openxmlformats.org/officeDocument/2006/relationships/hyperlink" Target="https://datatracker.ietf.org/doc/html/rfc6749" TargetMode="External"/><Relationship Id="rId112" Type="http://schemas.openxmlformats.org/officeDocument/2006/relationships/hyperlink" Target="https://hl7.org/fhir/us/udap-security/STU1/user.html" TargetMode="External"/><Relationship Id="rId133" Type="http://schemas.openxmlformats.org/officeDocument/2006/relationships/hyperlink" Target="https://www.udap.org/udap-jwt-client-auth.html" TargetMode="External"/><Relationship Id="rId154" Type="http://schemas.openxmlformats.org/officeDocument/2006/relationships/hyperlink" Target="https://datatracker.ietf.org/doc/html/rfc6749" TargetMode="External"/><Relationship Id="rId16" Type="http://schemas.openxmlformats.org/officeDocument/2006/relationships/hyperlink" Target="https://hl7.org/fhir/us/udap-security/STU1/registration.html" TargetMode="External"/><Relationship Id="rId37" Type="http://schemas.openxmlformats.org/officeDocument/2006/relationships/hyperlink" Target="https://hl7.org/fhir/us/udap-security/STU1/consumer.html" TargetMode="External"/><Relationship Id="rId58" Type="http://schemas.openxmlformats.org/officeDocument/2006/relationships/hyperlink" Target="https://hl7.org/fhir/us/udap-security/STU1/b2b.html" TargetMode="External"/><Relationship Id="rId79" Type="http://schemas.openxmlformats.org/officeDocument/2006/relationships/hyperlink" Target="https://hl7.org/fhir/us/udap-security/STU1/registration.html" TargetMode="External"/><Relationship Id="rId102" Type="http://schemas.openxmlformats.org/officeDocument/2006/relationships/hyperlink" Target="https://www.udap.org/udap-jwt-client-auth.html" TargetMode="External"/><Relationship Id="rId123" Type="http://schemas.openxmlformats.org/officeDocument/2006/relationships/hyperlink" Target="https://www.udap.org/udap-user-auth-stu1.html" TargetMode="External"/><Relationship Id="rId144" Type="http://schemas.openxmlformats.org/officeDocument/2006/relationships/hyperlink" Target="mailto:hl7.fhir.us.udap-security_1.0.0@128-129" TargetMode="External"/><Relationship Id="rId90" Type="http://schemas.openxmlformats.org/officeDocument/2006/relationships/hyperlink" Target="https://datatracker.ietf.org/doc/html/rfc674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Mali@mitr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C11"/>
  <sheetViews>
    <sheetView topLeftCell="A3" workbookViewId="0">
      <selection activeCell="A3" sqref="A1:XFD1048576"/>
    </sheetView>
  </sheetViews>
  <sheetFormatPr baseColWidth="10" defaultColWidth="10.83203125" defaultRowHeight="16" x14ac:dyDescent="0.2"/>
  <cols>
    <col min="1" max="1" width="133.5" style="13" customWidth="1"/>
    <col min="2" max="2" width="10.83203125" style="9"/>
    <col min="3" max="3" width="91.1640625" style="9" customWidth="1"/>
    <col min="4" max="16384" width="10.83203125" style="4"/>
  </cols>
  <sheetData>
    <row r="1" spans="1:3" ht="340" customHeight="1" x14ac:dyDescent="0.2">
      <c r="A1" s="14" t="s">
        <v>0</v>
      </c>
      <c r="C1" s="20" t="s">
        <v>1</v>
      </c>
    </row>
    <row r="2" spans="1:3" ht="124.5" customHeight="1" x14ac:dyDescent="0.2">
      <c r="A2" s="15" t="s">
        <v>2</v>
      </c>
      <c r="C2" s="24"/>
    </row>
    <row r="3" spans="1:3" ht="134" customHeight="1" x14ac:dyDescent="0.2">
      <c r="A3" s="15" t="s">
        <v>3</v>
      </c>
      <c r="C3" s="21"/>
    </row>
    <row r="4" spans="1:3" ht="409" customHeight="1" x14ac:dyDescent="0.2">
      <c r="A4" s="40" t="s">
        <v>435</v>
      </c>
      <c r="B4" s="22"/>
      <c r="C4" s="23"/>
    </row>
    <row r="5" spans="1:3" ht="258" customHeight="1" x14ac:dyDescent="0.2">
      <c r="A5" s="41"/>
      <c r="B5" s="26"/>
      <c r="C5" s="21"/>
    </row>
    <row r="6" spans="1:3" ht="164" x14ac:dyDescent="0.2">
      <c r="A6" s="17" t="s">
        <v>4</v>
      </c>
      <c r="B6" s="10"/>
      <c r="C6" s="16"/>
    </row>
    <row r="7" spans="1:3" ht="98" customHeight="1" x14ac:dyDescent="0.2">
      <c r="A7" s="42" t="s">
        <v>5</v>
      </c>
      <c r="B7" s="43"/>
    </row>
    <row r="8" spans="1:3" ht="126" customHeight="1" x14ac:dyDescent="0.2">
      <c r="A8" s="42"/>
      <c r="B8" s="44"/>
    </row>
    <row r="9" spans="1:3" ht="68" customHeight="1" x14ac:dyDescent="0.2">
      <c r="A9" s="40"/>
      <c r="B9" s="25"/>
    </row>
    <row r="10" spans="1:3" ht="292" x14ac:dyDescent="0.2">
      <c r="A10" s="11" t="s">
        <v>6</v>
      </c>
    </row>
    <row r="11" spans="1:3" x14ac:dyDescent="0.2">
      <c r="A11" s="12"/>
    </row>
  </sheetData>
  <mergeCells count="3">
    <mergeCell ref="A4:A5"/>
    <mergeCell ref="A7:A9"/>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V462"/>
  <sheetViews>
    <sheetView tabSelected="1" zoomScale="115" zoomScaleNormal="115" workbookViewId="0">
      <pane xSplit="8" ySplit="1" topLeftCell="U186" activePane="bottomRight" state="frozen"/>
      <selection pane="topRight" activeCell="I1" sqref="I1"/>
      <selection pane="bottomLeft" activeCell="A2" sqref="A2"/>
      <selection pane="bottomRight" activeCell="V192" sqref="V192"/>
    </sheetView>
  </sheetViews>
  <sheetFormatPr baseColWidth="10" defaultColWidth="10.83203125" defaultRowHeight="15.75" customHeight="1" x14ac:dyDescent="0.2"/>
  <cols>
    <col min="1" max="1" width="4.33203125" style="2" customWidth="1"/>
    <col min="2" max="2" width="22.33203125" style="2" customWidth="1"/>
    <col min="3" max="3" width="41" style="36" customWidth="1"/>
    <col min="4" max="4" width="13.33203125" style="2" customWidth="1"/>
    <col min="5" max="5" width="14" style="2" customWidth="1"/>
    <col min="6" max="6" width="15.33203125" style="2" bestFit="1" customWidth="1"/>
    <col min="7" max="7" width="9.1640625" style="2" customWidth="1"/>
    <col min="8" max="8" width="15.33203125" style="5" customWidth="1"/>
    <col min="9" max="9" width="10" style="18" customWidth="1"/>
    <col min="10" max="10" width="22" style="18" customWidth="1"/>
    <col min="11" max="11" width="10.5" style="18" customWidth="1"/>
    <col min="12" max="12" width="25.83203125" style="18" customWidth="1"/>
    <col min="13" max="13" width="20" style="31" customWidth="1"/>
    <col min="14" max="14" width="28.5" style="31" customWidth="1"/>
    <col min="15" max="18" width="10.83203125" style="5" customWidth="1"/>
    <col min="19" max="19" width="10.5" style="5" customWidth="1"/>
    <col min="20" max="20" width="42.5" style="5" customWidth="1"/>
    <col min="21" max="22" width="44.1640625" style="5" customWidth="1"/>
    <col min="23" max="16384" width="10.83203125" style="3"/>
  </cols>
  <sheetData>
    <row r="1" spans="1:22" s="29" customFormat="1" ht="32" x14ac:dyDescent="0.2">
      <c r="A1" s="1" t="s">
        <v>7</v>
      </c>
      <c r="B1" s="1" t="s">
        <v>8</v>
      </c>
      <c r="C1" s="35" t="s">
        <v>9</v>
      </c>
      <c r="D1" s="1" t="s">
        <v>10</v>
      </c>
      <c r="E1" s="1" t="s">
        <v>436</v>
      </c>
      <c r="F1" s="1" t="s">
        <v>11</v>
      </c>
      <c r="G1" s="1" t="s">
        <v>12</v>
      </c>
      <c r="H1" s="6" t="s">
        <v>13</v>
      </c>
      <c r="I1" s="19" t="s">
        <v>14</v>
      </c>
      <c r="J1" s="19" t="s">
        <v>15</v>
      </c>
      <c r="K1" s="19" t="s">
        <v>16</v>
      </c>
      <c r="L1" s="19" t="s">
        <v>17</v>
      </c>
      <c r="M1" s="28" t="s">
        <v>18</v>
      </c>
      <c r="N1" s="28" t="s">
        <v>19</v>
      </c>
      <c r="O1" s="6" t="s">
        <v>20</v>
      </c>
      <c r="P1" s="6" t="s">
        <v>21</v>
      </c>
      <c r="Q1" s="6" t="s">
        <v>22</v>
      </c>
      <c r="R1" s="6" t="s">
        <v>23</v>
      </c>
      <c r="S1" s="6" t="s">
        <v>24</v>
      </c>
      <c r="T1" s="6" t="s">
        <v>25</v>
      </c>
      <c r="U1" s="6" t="s">
        <v>26</v>
      </c>
      <c r="V1" s="6" t="s">
        <v>27</v>
      </c>
    </row>
    <row r="2" spans="1:22" ht="117" customHeight="1" x14ac:dyDescent="0.2">
      <c r="A2" s="2">
        <v>1</v>
      </c>
      <c r="B2" s="30" t="s">
        <v>28</v>
      </c>
      <c r="C2" s="36" t="s">
        <v>29</v>
      </c>
      <c r="D2" s="2" t="s">
        <v>30</v>
      </c>
      <c r="E2" s="2" t="s">
        <v>31</v>
      </c>
      <c r="R2" s="5" t="s">
        <v>437</v>
      </c>
    </row>
    <row r="3" spans="1:22" ht="117" customHeight="1" x14ac:dyDescent="0.2">
      <c r="A3" s="2">
        <v>2</v>
      </c>
      <c r="B3" s="30" t="s">
        <v>28</v>
      </c>
      <c r="C3" s="36" t="s">
        <v>32</v>
      </c>
      <c r="D3" s="2" t="s">
        <v>30</v>
      </c>
      <c r="E3" s="2" t="s">
        <v>31</v>
      </c>
      <c r="R3" s="5" t="s">
        <v>437</v>
      </c>
    </row>
    <row r="4" spans="1:22" ht="117" customHeight="1" x14ac:dyDescent="0.2">
      <c r="A4" s="2">
        <v>3</v>
      </c>
      <c r="B4" s="30" t="s">
        <v>28</v>
      </c>
      <c r="C4" s="36" t="s">
        <v>33</v>
      </c>
      <c r="D4" s="2" t="s">
        <v>30</v>
      </c>
      <c r="E4" s="2" t="s">
        <v>31</v>
      </c>
      <c r="R4" s="5" t="s">
        <v>437</v>
      </c>
    </row>
    <row r="5" spans="1:22" s="29" customFormat="1" ht="85" x14ac:dyDescent="0.2">
      <c r="A5" s="2">
        <v>4</v>
      </c>
      <c r="B5" s="32" t="s">
        <v>34</v>
      </c>
      <c r="C5" s="36" t="s">
        <v>35</v>
      </c>
      <c r="D5" s="2" t="s">
        <v>30</v>
      </c>
      <c r="E5" s="2" t="s">
        <v>31</v>
      </c>
      <c r="F5" s="2"/>
      <c r="G5" s="2"/>
      <c r="H5" s="5"/>
      <c r="I5" s="18"/>
      <c r="J5" s="18"/>
      <c r="K5" s="18"/>
      <c r="L5" s="18"/>
      <c r="M5" s="31" t="str" cm="1">
        <f t="array" ref="M5">PAGE_NAME(B5)</f>
        <v/>
      </c>
      <c r="N5" s="31" t="str" cm="1">
        <f t="array" ref="N5">SECTION_NAME(B5)</f>
        <v>signature-algorithm-identifiers</v>
      </c>
      <c r="O5" s="5" t="str">
        <f>IF(ISNUMBER(SEARCH("MAY", C5)), "MAY", IF(ISNUMBER(SEARCH("SHOULD", C5)), "SHOULD", IF(ISNUMBER(SEARCH("SHALL", C5)), "SHALL", IF(ISNUMBER(SEARCH("SHOULD NOT", C5)), "SHOULD NOT", IF(ISNUMBER(SEARCH("SHALL NOT", C5)), "SHALL NOT", "")))))</f>
        <v>SHALL</v>
      </c>
      <c r="P5" s="5" t="str">
        <f>IF(ISNUMBER(SEARCH("Server", C5)), "Server", IF(ISNUMBER(SEARCH("client", C5)), "Client", IF(ISNUMBER(SEARCH("Client", C5)), "Client", IF(ISNUMBER(SEARCH("US Core Responder", C5)), "Server", IF(ISNUMBER(SEARCH("US Core Requestor", C5)), "Client", "")))))</f>
        <v/>
      </c>
      <c r="Q5" s="5"/>
      <c r="R5" s="5" t="s">
        <v>437</v>
      </c>
      <c r="S5" s="5"/>
      <c r="T5" s="5"/>
      <c r="U5" s="5"/>
      <c r="V5" s="5"/>
    </row>
    <row r="6" spans="1:22" ht="68" x14ac:dyDescent="0.2">
      <c r="A6" s="2">
        <v>5</v>
      </c>
      <c r="B6" s="33" t="s">
        <v>34</v>
      </c>
      <c r="C6" s="36" t="s">
        <v>36</v>
      </c>
      <c r="D6" s="2" t="s">
        <v>37</v>
      </c>
      <c r="E6" s="2" t="s">
        <v>31</v>
      </c>
      <c r="M6" s="31" t="str" cm="1">
        <f t="array" ref="M6">PAGE_NAME(B6)</f>
        <v/>
      </c>
      <c r="N6" s="31" t="str" cm="1">
        <f t="array" ref="N6">SECTION_NAME(B6)</f>
        <v>signature-algorithm-identifiers</v>
      </c>
      <c r="O6" s="5" t="str">
        <f t="shared" ref="O6:O59" si="0">IF(ISNUMBER(SEARCH("MAY", C6)), "MAY", IF(ISNUMBER(SEARCH("SHOULD", C6)), "SHOULD", IF(ISNUMBER(SEARCH("SHALL", C6)), "SHALL", IF(ISNUMBER(SEARCH("SHOULD NOT", C6)), "SHOULD NOT", IF(ISNUMBER(SEARCH("SHALL NOT", C6)), "SHALL NOT", "")))))</f>
        <v>SHOULD</v>
      </c>
      <c r="P6" s="5" t="str">
        <f t="shared" ref="P6:P13" si="1">IF(ISNUMBER(SEARCH("Server", C6)), "Server", IF(ISNUMBER(SEARCH("client", C6)), "Client", IF(ISNUMBER(SEARCH("Client", C6)), "Client", IF(ISNUMBER(SEARCH("US Core Responder", C6)), "Server", IF(ISNUMBER(SEARCH("US Core Requestor", C6)), "Client", "")))))</f>
        <v/>
      </c>
      <c r="R6" s="5" t="s">
        <v>437</v>
      </c>
    </row>
    <row r="7" spans="1:22" ht="99" customHeight="1" x14ac:dyDescent="0.2">
      <c r="A7" s="2">
        <v>6</v>
      </c>
      <c r="B7" s="33" t="s">
        <v>34</v>
      </c>
      <c r="C7" s="36" t="s">
        <v>38</v>
      </c>
      <c r="D7" s="2" t="s">
        <v>39</v>
      </c>
      <c r="E7" s="2" t="s">
        <v>31</v>
      </c>
      <c r="M7" s="31" t="str" cm="1">
        <f t="array" ref="M7">PAGE_NAME(B7)</f>
        <v/>
      </c>
      <c r="N7" s="31" t="str" cm="1">
        <f t="array" ref="N7">SECTION_NAME(B7)</f>
        <v>signature-algorithm-identifiers</v>
      </c>
      <c r="O7" s="5" t="str">
        <f t="shared" si="0"/>
        <v>MAY</v>
      </c>
      <c r="P7" s="5" t="str">
        <f t="shared" si="1"/>
        <v/>
      </c>
      <c r="R7" s="5" t="s">
        <v>437</v>
      </c>
    </row>
    <row r="8" spans="1:22" ht="119" x14ac:dyDescent="0.2">
      <c r="A8" s="2">
        <v>7</v>
      </c>
      <c r="B8" s="32" t="s">
        <v>40</v>
      </c>
      <c r="C8" s="36" t="s">
        <v>41</v>
      </c>
      <c r="D8" s="2" t="s">
        <v>30</v>
      </c>
      <c r="E8" s="2" t="s">
        <v>31</v>
      </c>
      <c r="R8" s="5" t="s">
        <v>437</v>
      </c>
    </row>
    <row r="9" spans="1:22" ht="238" x14ac:dyDescent="0.2">
      <c r="A9" s="2">
        <v>8</v>
      </c>
      <c r="B9" s="32" t="s">
        <v>40</v>
      </c>
      <c r="C9" s="36" t="s">
        <v>42</v>
      </c>
      <c r="D9" s="2" t="s">
        <v>30</v>
      </c>
      <c r="E9" s="2" t="s">
        <v>31</v>
      </c>
      <c r="R9" s="5" t="s">
        <v>437</v>
      </c>
    </row>
    <row r="10" spans="1:22" ht="51" x14ac:dyDescent="0.2">
      <c r="A10" s="2">
        <v>9</v>
      </c>
      <c r="B10" s="30" t="s">
        <v>43</v>
      </c>
      <c r="C10" s="36" t="s">
        <v>44</v>
      </c>
      <c r="D10" s="2" t="s">
        <v>30</v>
      </c>
      <c r="E10" s="2" t="s">
        <v>45</v>
      </c>
      <c r="M10" s="31" t="str" cm="1">
        <f t="array" ref="M10">PAGE_NAME(B10)</f>
        <v>discovery</v>
      </c>
      <c r="N10" s="31" t="str" cm="1">
        <f t="array" ref="N10">SECTION_NAME(B10)</f>
        <v>discovery-of-endpoints</v>
      </c>
      <c r="O10" s="5" t="str">
        <f t="shared" si="0"/>
        <v>SHALL</v>
      </c>
      <c r="P10" s="5" t="str">
        <f t="shared" si="1"/>
        <v>Server</v>
      </c>
      <c r="R10" s="5" t="s">
        <v>438</v>
      </c>
    </row>
    <row r="11" spans="1:22" ht="85" x14ac:dyDescent="0.2">
      <c r="A11" s="2">
        <v>10</v>
      </c>
      <c r="B11" s="2" t="s">
        <v>43</v>
      </c>
      <c r="C11" s="36" t="s">
        <v>46</v>
      </c>
      <c r="D11" s="2" t="s">
        <v>30</v>
      </c>
      <c r="E11" s="2" t="s">
        <v>45</v>
      </c>
      <c r="M11" s="31" t="str" cm="1">
        <f t="array" ref="M11">PAGE_NAME(B11)</f>
        <v>discovery</v>
      </c>
      <c r="N11" s="31" t="str" cm="1">
        <f t="array" ref="N11">SECTION_NAME(B11)</f>
        <v>discovery-of-endpoints</v>
      </c>
      <c r="O11" s="5" t="str">
        <f t="shared" si="0"/>
        <v>SHALL</v>
      </c>
      <c r="P11" s="5" t="str">
        <f t="shared" si="1"/>
        <v>Server</v>
      </c>
      <c r="R11" s="5" t="s">
        <v>438</v>
      </c>
    </row>
    <row r="12" spans="1:22" ht="85" x14ac:dyDescent="0.2">
      <c r="A12" s="2">
        <v>11</v>
      </c>
      <c r="B12" s="2" t="s">
        <v>43</v>
      </c>
      <c r="C12" s="36" t="s">
        <v>47</v>
      </c>
      <c r="D12" s="2" t="s">
        <v>30</v>
      </c>
      <c r="E12" s="2" t="s">
        <v>45</v>
      </c>
      <c r="M12" s="31" t="str" cm="1">
        <f t="array" ref="M12">PAGE_NAME(B12)</f>
        <v>discovery</v>
      </c>
      <c r="N12" s="31" t="str" cm="1">
        <f t="array" ref="N12">SECTION_NAME(B12)</f>
        <v>discovery-of-endpoints</v>
      </c>
      <c r="O12" s="5" t="str">
        <f t="shared" si="0"/>
        <v>SHALL</v>
      </c>
      <c r="P12" s="5" t="str">
        <f t="shared" si="1"/>
        <v>Server</v>
      </c>
      <c r="R12" s="5" t="s">
        <v>438</v>
      </c>
    </row>
    <row r="13" spans="1:22" ht="85" x14ac:dyDescent="0.2">
      <c r="A13" s="2">
        <v>12</v>
      </c>
      <c r="B13" s="2" t="s">
        <v>43</v>
      </c>
      <c r="C13" s="36" t="s">
        <v>48</v>
      </c>
      <c r="D13" s="2" t="s">
        <v>30</v>
      </c>
      <c r="E13" s="2" t="s">
        <v>45</v>
      </c>
      <c r="M13" s="31" t="str" cm="1">
        <f t="array" ref="M13">PAGE_NAME(B13)</f>
        <v>discovery</v>
      </c>
      <c r="N13" s="31" t="str" cm="1">
        <f t="array" ref="N13">SECTION_NAME(B13)</f>
        <v>discovery-of-endpoints</v>
      </c>
      <c r="O13" s="5" t="str">
        <f t="shared" si="0"/>
        <v>SHALL</v>
      </c>
      <c r="P13" s="5" t="str">
        <f t="shared" si="1"/>
        <v>Server</v>
      </c>
      <c r="R13" s="5" t="s">
        <v>438</v>
      </c>
    </row>
    <row r="14" spans="1:22" ht="102" x14ac:dyDescent="0.2">
      <c r="A14" s="2">
        <v>13</v>
      </c>
      <c r="B14" s="2" t="s">
        <v>43</v>
      </c>
      <c r="C14" s="36" t="s">
        <v>49</v>
      </c>
      <c r="D14" s="2" t="s">
        <v>30</v>
      </c>
      <c r="E14" s="2" t="s">
        <v>45</v>
      </c>
      <c r="M14" s="31" t="str" cm="1">
        <f t="array" ref="M14">PAGE_NAME(B14)</f>
        <v>discovery</v>
      </c>
      <c r="N14" s="31" t="str" cm="1">
        <f t="array" ref="N14">SECTION_NAME(B14)</f>
        <v>discovery-of-endpoints</v>
      </c>
      <c r="O14" s="5" t="str">
        <f t="shared" si="0"/>
        <v>SHALL</v>
      </c>
      <c r="P14" s="5" t="str">
        <f>IF(ISNUMBER(SEARCH("Server", C14)), "Server", IF(ISNUMBER(SEARCH("client", C14)), "Client", IF(ISNUMBER(SEARCH("Client", C14)), "Client", IF(ISNUMBER(SEARCH("US Core Responder", C14)), "Server", IF(ISNUMBER(SEARCH("US Core Requestor", C14)), "Client", "")))))</f>
        <v>Server</v>
      </c>
      <c r="R14" s="5" t="s">
        <v>438</v>
      </c>
    </row>
    <row r="15" spans="1:22" ht="85" x14ac:dyDescent="0.2">
      <c r="A15" s="2">
        <v>14</v>
      </c>
      <c r="B15" s="2" t="s">
        <v>43</v>
      </c>
      <c r="C15" s="36" t="s">
        <v>50</v>
      </c>
      <c r="D15" s="2" t="s">
        <v>30</v>
      </c>
      <c r="E15" s="2" t="s">
        <v>45</v>
      </c>
      <c r="M15" s="31" t="str" cm="1">
        <f t="array" ref="M15">PAGE_NAME(B15)</f>
        <v>discovery</v>
      </c>
      <c r="N15" s="31" t="str" cm="1">
        <f t="array" ref="N15">SECTION_NAME(B15)</f>
        <v>discovery-of-endpoints</v>
      </c>
      <c r="O15" s="5" t="str">
        <f t="shared" si="0"/>
        <v>SHALL</v>
      </c>
      <c r="P15" s="5" t="str">
        <f t="shared" ref="P15:P23" si="2">IF(ISNUMBER(SEARCH("Server", C15)), "Server", IF(ISNUMBER(SEARCH("client", C15)), "Client", IF(ISNUMBER(SEARCH("Client", C15)), "Client", IF(ISNUMBER(SEARCH("US Core Responder", C15)), "Server", IF(ISNUMBER(SEARCH("US Core Requestor", C15)), "Client", "")))))</f>
        <v>Server</v>
      </c>
      <c r="R15" s="5" t="s">
        <v>438</v>
      </c>
    </row>
    <row r="16" spans="1:22" ht="153" x14ac:dyDescent="0.2">
      <c r="A16" s="2">
        <v>15</v>
      </c>
      <c r="B16" s="2" t="s">
        <v>43</v>
      </c>
      <c r="C16" s="36" t="s">
        <v>51</v>
      </c>
      <c r="D16" s="2" t="s">
        <v>30</v>
      </c>
      <c r="E16" s="34" t="s">
        <v>45</v>
      </c>
      <c r="M16" s="31" t="str" cm="1">
        <f t="array" ref="M16">PAGE_NAME(B16)</f>
        <v>discovery</v>
      </c>
      <c r="N16" s="31" t="str" cm="1">
        <f t="array" ref="N16">SECTION_NAME(B16)</f>
        <v>discovery-of-endpoints</v>
      </c>
      <c r="O16" s="5" t="str">
        <f t="shared" si="0"/>
        <v>SHALL</v>
      </c>
      <c r="P16" s="5" t="str">
        <f t="shared" si="2"/>
        <v>Server</v>
      </c>
      <c r="R16" s="5" t="s">
        <v>438</v>
      </c>
      <c r="V16" s="5" t="s">
        <v>52</v>
      </c>
    </row>
    <row r="17" spans="1:18" ht="102" x14ac:dyDescent="0.2">
      <c r="A17" s="2">
        <v>16</v>
      </c>
      <c r="B17" s="2" t="s">
        <v>43</v>
      </c>
      <c r="C17" s="36" t="s">
        <v>53</v>
      </c>
      <c r="D17" s="2" t="s">
        <v>37</v>
      </c>
      <c r="E17" s="2" t="s">
        <v>54</v>
      </c>
      <c r="M17" s="31" t="str" cm="1">
        <f t="array" ref="M17">PAGE_NAME(B17)</f>
        <v>discovery</v>
      </c>
      <c r="N17" s="31" t="str" cm="1">
        <f t="array" ref="N17">SECTION_NAME(B17)</f>
        <v>discovery-of-endpoints</v>
      </c>
      <c r="O17" s="5" t="str">
        <f>IF(ISNUMBER(SEARCH("MAY", C17)), "MAY", IF(ISNUMBER(SEARCH("SHOULD", C17)), "SHOULD", IF(ISNUMBER(SEARCH("SHALL", C17)), "SHALL", IF(ISNUMBER(SEARCH("SHOULD NOT", C17)), "SHOULD NOT", IF(ISNUMBER(SEARCH("SHALL NOT", C17)), "SHALL NOT", "")))))</f>
        <v>SHOULD</v>
      </c>
      <c r="P17" s="5" t="str">
        <f t="shared" si="2"/>
        <v>Server</v>
      </c>
      <c r="R17" s="5" t="s">
        <v>438</v>
      </c>
    </row>
    <row r="18" spans="1:18" ht="85" x14ac:dyDescent="0.2">
      <c r="A18" s="2">
        <v>17</v>
      </c>
      <c r="B18" s="30" t="s">
        <v>43</v>
      </c>
      <c r="C18" s="36" t="s">
        <v>55</v>
      </c>
      <c r="D18" s="2" t="s">
        <v>37</v>
      </c>
      <c r="E18" s="34" t="s">
        <v>45</v>
      </c>
      <c r="M18" s="31" t="str" cm="1">
        <f t="array" ref="M18">PAGE_NAME(B18)</f>
        <v>discovery</v>
      </c>
      <c r="N18" s="31" t="str" cm="1">
        <f t="array" ref="N18">SECTION_NAME(B18)</f>
        <v>discovery-of-endpoints</v>
      </c>
      <c r="O18" s="5" t="str">
        <f t="shared" si="0"/>
        <v/>
      </c>
      <c r="P18" s="5" t="str">
        <f t="shared" si="2"/>
        <v>Server</v>
      </c>
      <c r="R18" s="5" t="s">
        <v>438</v>
      </c>
    </row>
    <row r="19" spans="1:18" ht="85" x14ac:dyDescent="0.2">
      <c r="A19" s="2">
        <v>18</v>
      </c>
      <c r="B19" s="2" t="s">
        <v>56</v>
      </c>
      <c r="C19" s="36" t="s">
        <v>57</v>
      </c>
      <c r="D19" s="2" t="s">
        <v>30</v>
      </c>
      <c r="E19" s="34" t="s">
        <v>45</v>
      </c>
      <c r="M19" s="31" t="str" cm="1">
        <f t="array" ref="M19">PAGE_NAME(B19)</f>
        <v>discovery</v>
      </c>
      <c r="N19" s="31" t="str" cm="1">
        <f t="array" ref="N19">SECTION_NAME(B19)</f>
        <v>required-udap-metadata</v>
      </c>
      <c r="O19" s="5" t="str">
        <f t="shared" si="0"/>
        <v>SHALL</v>
      </c>
      <c r="P19" s="5" t="str">
        <f t="shared" si="2"/>
        <v>Server</v>
      </c>
      <c r="R19" s="5" t="s">
        <v>438</v>
      </c>
    </row>
    <row r="20" spans="1:18" ht="68" x14ac:dyDescent="0.2">
      <c r="A20" s="2">
        <v>19</v>
      </c>
      <c r="B20" s="30" t="s">
        <v>56</v>
      </c>
      <c r="C20" s="36" t="s">
        <v>58</v>
      </c>
      <c r="D20" s="2" t="s">
        <v>30</v>
      </c>
      <c r="E20" s="34" t="s">
        <v>45</v>
      </c>
      <c r="M20" s="31" t="str" cm="1">
        <f t="array" ref="M20">PAGE_NAME(B20)</f>
        <v>discovery</v>
      </c>
      <c r="N20" s="31" t="str" cm="1">
        <f t="array" ref="N20">SECTION_NAME(B20)</f>
        <v>required-udap-metadata</v>
      </c>
      <c r="O20" s="5" t="str">
        <f t="shared" si="0"/>
        <v>SHALL</v>
      </c>
      <c r="P20" s="5" t="str">
        <f t="shared" si="2"/>
        <v>Server</v>
      </c>
      <c r="R20" s="5" t="s">
        <v>438</v>
      </c>
    </row>
    <row r="21" spans="1:18" ht="85" x14ac:dyDescent="0.2">
      <c r="A21" s="2">
        <v>20</v>
      </c>
      <c r="B21" s="2" t="s">
        <v>56</v>
      </c>
      <c r="C21" s="36" t="s">
        <v>59</v>
      </c>
      <c r="D21" s="2" t="s">
        <v>30</v>
      </c>
      <c r="E21" s="2" t="s">
        <v>54</v>
      </c>
      <c r="M21" s="31" t="str" cm="1">
        <f t="array" ref="M21">PAGE_NAME(B21)</f>
        <v>discovery</v>
      </c>
      <c r="N21" s="31" t="str" cm="1">
        <f t="array" ref="N21">SECTION_NAME(B21)</f>
        <v>required-udap-metadata</v>
      </c>
      <c r="O21" s="5" t="str">
        <f t="shared" si="0"/>
        <v>SHALL</v>
      </c>
      <c r="P21" s="5" t="str">
        <f t="shared" si="2"/>
        <v>Server</v>
      </c>
      <c r="R21" s="5" t="s">
        <v>438</v>
      </c>
    </row>
    <row r="22" spans="1:18" ht="85" x14ac:dyDescent="0.2">
      <c r="A22" s="2">
        <v>21</v>
      </c>
      <c r="B22" s="2" t="s">
        <v>56</v>
      </c>
      <c r="C22" s="36" t="s">
        <v>60</v>
      </c>
      <c r="D22" s="2" t="s">
        <v>30</v>
      </c>
      <c r="E22" s="2" t="s">
        <v>54</v>
      </c>
      <c r="M22" s="31" t="str" cm="1">
        <f t="array" ref="M22">PAGE_NAME(B22)</f>
        <v>discovery</v>
      </c>
      <c r="N22" s="31" t="str" cm="1">
        <f t="array" ref="N22">SECTION_NAME(B22)</f>
        <v>required-udap-metadata</v>
      </c>
      <c r="O22" s="5" t="str">
        <f t="shared" si="0"/>
        <v>SHALL</v>
      </c>
      <c r="P22" s="5" t="str">
        <f t="shared" si="2"/>
        <v>Server</v>
      </c>
      <c r="R22" s="5" t="s">
        <v>438</v>
      </c>
    </row>
    <row r="23" spans="1:18" ht="85" x14ac:dyDescent="0.2">
      <c r="A23" s="2">
        <v>22</v>
      </c>
      <c r="B23" s="2" t="s">
        <v>56</v>
      </c>
      <c r="C23" s="36" t="s">
        <v>61</v>
      </c>
      <c r="D23" s="2" t="s">
        <v>30</v>
      </c>
      <c r="E23" s="34" t="s">
        <v>45</v>
      </c>
      <c r="M23" s="31" t="str" cm="1">
        <f t="array" ref="M23">PAGE_NAME(B23)</f>
        <v>discovery</v>
      </c>
      <c r="N23" s="31" t="str" cm="1">
        <f t="array" ref="N23">SECTION_NAME(B23)</f>
        <v>required-udap-metadata</v>
      </c>
      <c r="O23" s="5" t="str">
        <f t="shared" si="0"/>
        <v>SHALL</v>
      </c>
      <c r="P23" s="5" t="str">
        <f t="shared" si="2"/>
        <v/>
      </c>
      <c r="R23" s="5" t="s">
        <v>438</v>
      </c>
    </row>
    <row r="24" spans="1:18" ht="85" x14ac:dyDescent="0.2">
      <c r="A24" s="2">
        <v>23</v>
      </c>
      <c r="B24" s="2" t="s">
        <v>56</v>
      </c>
      <c r="C24" s="36" t="s">
        <v>62</v>
      </c>
      <c r="D24" s="2" t="s">
        <v>30</v>
      </c>
      <c r="E24" s="34" t="s">
        <v>45</v>
      </c>
      <c r="M24" s="31" t="str" cm="1">
        <f t="array" ref="M24">PAGE_NAME(B24)</f>
        <v>discovery</v>
      </c>
      <c r="N24" s="31" t="str" cm="1">
        <f t="array" ref="N24">SECTION_NAME(B24)</f>
        <v>required-udap-metadata</v>
      </c>
      <c r="O24" s="5" t="str">
        <f t="shared" si="0"/>
        <v>SHALL</v>
      </c>
      <c r="P24" s="5" t="str">
        <f t="shared" ref="P24:P59" si="3">IF(ISNUMBER(SEARCH("server", C24)), "Server", IF(ISNUMBER(SEARCH("Server", C24)), "Server", IF(ISNUMBER(SEARCH("client", C24)), "Client", IF(ISNUMBER(SEARCH("Client", C24)), "Client", IF(ISNUMBER(SEARCH("US Core Responder", C24)), "Server", IF(ISNUMBER(SEARCH("US Core Requestor", C24)), "Client", ""))))))</f>
        <v>Server</v>
      </c>
      <c r="R24" s="5" t="s">
        <v>438</v>
      </c>
    </row>
    <row r="25" spans="1:18" ht="85" x14ac:dyDescent="0.2">
      <c r="A25" s="2">
        <v>24</v>
      </c>
      <c r="B25" s="2" t="s">
        <v>56</v>
      </c>
      <c r="C25" s="36" t="s">
        <v>63</v>
      </c>
      <c r="D25" s="2" t="s">
        <v>30</v>
      </c>
      <c r="E25" s="34" t="s">
        <v>45</v>
      </c>
      <c r="G25" s="2" t="b">
        <v>1</v>
      </c>
      <c r="H25" s="5" t="s">
        <v>64</v>
      </c>
      <c r="M25" s="31" t="str" cm="1">
        <f t="array" ref="M25">PAGE_NAME(B25)</f>
        <v>discovery</v>
      </c>
      <c r="N25" s="31" t="str" cm="1">
        <f t="array" ref="N25">SECTION_NAME(B25)</f>
        <v>required-udap-metadata</v>
      </c>
      <c r="O25" s="5" t="str">
        <f t="shared" si="0"/>
        <v>SHALL</v>
      </c>
      <c r="P25" s="5" t="str">
        <f t="shared" si="3"/>
        <v>Server</v>
      </c>
      <c r="R25" s="5" t="s">
        <v>438</v>
      </c>
    </row>
    <row r="26" spans="1:18" ht="85" x14ac:dyDescent="0.2">
      <c r="A26" s="2">
        <v>25</v>
      </c>
      <c r="B26" s="2" t="s">
        <v>56</v>
      </c>
      <c r="C26" s="36" t="s">
        <v>65</v>
      </c>
      <c r="D26" s="2" t="s">
        <v>30</v>
      </c>
      <c r="E26" s="34" t="s">
        <v>45</v>
      </c>
      <c r="G26" s="2" t="b">
        <v>1</v>
      </c>
      <c r="H26" s="5" t="s">
        <v>66</v>
      </c>
      <c r="M26" s="31" t="str" cm="1">
        <f t="array" ref="M26">PAGE_NAME(B26)</f>
        <v>discovery</v>
      </c>
      <c r="N26" s="31" t="str" cm="1">
        <f t="array" ref="N26">SECTION_NAME(B26)</f>
        <v>required-udap-metadata</v>
      </c>
      <c r="O26" s="5" t="str">
        <f t="shared" si="0"/>
        <v>SHALL</v>
      </c>
      <c r="P26" s="5" t="str">
        <f t="shared" si="3"/>
        <v>Server</v>
      </c>
      <c r="R26" s="5" t="s">
        <v>438</v>
      </c>
    </row>
    <row r="27" spans="1:18" ht="136" x14ac:dyDescent="0.2">
      <c r="A27" s="2">
        <v>26</v>
      </c>
      <c r="B27" s="2" t="s">
        <v>56</v>
      </c>
      <c r="C27" s="36" t="s">
        <v>67</v>
      </c>
      <c r="D27" s="2" t="s">
        <v>30</v>
      </c>
      <c r="E27" s="34" t="s">
        <v>45</v>
      </c>
      <c r="G27" s="2" t="b">
        <v>1</v>
      </c>
      <c r="H27" s="5" t="s">
        <v>68</v>
      </c>
      <c r="M27" s="31" t="str" cm="1">
        <f t="array" ref="M27">PAGE_NAME(B27)</f>
        <v>discovery</v>
      </c>
      <c r="N27" s="31" t="str" cm="1">
        <f t="array" ref="N27">SECTION_NAME(B27)</f>
        <v>required-udap-metadata</v>
      </c>
      <c r="O27" s="5" t="str">
        <f t="shared" si="0"/>
        <v>SHALL</v>
      </c>
      <c r="P27" s="5" t="str">
        <f t="shared" si="3"/>
        <v>Client</v>
      </c>
      <c r="R27" s="5" t="s">
        <v>438</v>
      </c>
    </row>
    <row r="28" spans="1:18" ht="204" x14ac:dyDescent="0.2">
      <c r="A28" s="2">
        <v>27</v>
      </c>
      <c r="B28" s="2" t="s">
        <v>56</v>
      </c>
      <c r="C28" s="36" t="s">
        <v>69</v>
      </c>
      <c r="D28" s="2" t="s">
        <v>30</v>
      </c>
      <c r="E28" s="34" t="s">
        <v>45</v>
      </c>
      <c r="G28" s="2" t="b">
        <v>1</v>
      </c>
      <c r="H28" s="5" t="s">
        <v>70</v>
      </c>
      <c r="M28" s="31" t="str" cm="1">
        <f t="array" ref="M28">PAGE_NAME(B28)</f>
        <v>discovery</v>
      </c>
      <c r="N28" s="31" t="str" cm="1">
        <f t="array" ref="N28">SECTION_NAME(B28)</f>
        <v>required-udap-metadata</v>
      </c>
      <c r="O28" s="5" t="str">
        <f t="shared" si="0"/>
        <v>SHALL</v>
      </c>
      <c r="P28" s="5" t="str">
        <f t="shared" si="3"/>
        <v>Server</v>
      </c>
      <c r="R28" s="5" t="s">
        <v>438</v>
      </c>
    </row>
    <row r="29" spans="1:18" ht="102" x14ac:dyDescent="0.2">
      <c r="A29" s="2">
        <v>28</v>
      </c>
      <c r="B29" s="2" t="s">
        <v>56</v>
      </c>
      <c r="C29" s="36" t="s">
        <v>71</v>
      </c>
      <c r="D29" s="2" t="s">
        <v>30</v>
      </c>
      <c r="E29" s="34" t="s">
        <v>45</v>
      </c>
      <c r="M29" s="31" t="str" cm="1">
        <f t="array" ref="M29">PAGE_NAME(B29)</f>
        <v>discovery</v>
      </c>
      <c r="N29" s="31" t="str" cm="1">
        <f t="array" ref="N29">SECTION_NAME(B29)</f>
        <v>required-udap-metadata</v>
      </c>
      <c r="O29" s="5" t="str">
        <f t="shared" si="0"/>
        <v>SHALL</v>
      </c>
      <c r="P29" s="5" t="str">
        <f t="shared" si="3"/>
        <v>Server</v>
      </c>
      <c r="R29" s="5" t="s">
        <v>438</v>
      </c>
    </row>
    <row r="30" spans="1:18" ht="153" x14ac:dyDescent="0.2">
      <c r="A30" s="2">
        <v>29</v>
      </c>
      <c r="B30" s="2" t="s">
        <v>56</v>
      </c>
      <c r="C30" s="36" t="s">
        <v>72</v>
      </c>
      <c r="D30" s="2" t="s">
        <v>30</v>
      </c>
      <c r="E30" s="34" t="s">
        <v>45</v>
      </c>
      <c r="M30" s="31" t="str" cm="1">
        <f t="array" ref="M30">PAGE_NAME(B30)</f>
        <v>discovery</v>
      </c>
      <c r="N30" s="31" t="str" cm="1">
        <f t="array" ref="N30">SECTION_NAME(B30)</f>
        <v>required-udap-metadata</v>
      </c>
      <c r="O30" s="5" t="str">
        <f>IF(ISNUMBER(SEARCH("MAY", C30)), "MAY", IF(ISNUMBER(SEARCH("SHOULD", C30)), "SHOULD", IF(ISNUMBER(SEARCH("SHALL", C30)), "SHALL", IF(ISNUMBER(SEARCH("SHOULD NOT", C30)), "SHOULD NOT", IF(ISNUMBER(SEARCH("SHALL NOT", C30)), "SHALL NOT", "")))))</f>
        <v>SHALL</v>
      </c>
      <c r="P30" s="5" t="str">
        <f>IF(ISNUMBER(SEARCH("server", C30)), "Server", IF(ISNUMBER(SEARCH("Server", C30)), "Server", IF(ISNUMBER(SEARCH("client", C30)), "Client", IF(ISNUMBER(SEARCH("Client", C30)), "Client", IF(ISNUMBER(SEARCH("US Core Responder", C30)), "Server", IF(ISNUMBER(SEARCH("US Core Requestor", C30)), "Client", ""))))))</f>
        <v>Server</v>
      </c>
      <c r="R30" s="5" t="s">
        <v>438</v>
      </c>
    </row>
    <row r="31" spans="1:18" ht="102" x14ac:dyDescent="0.2">
      <c r="A31" s="2">
        <v>30</v>
      </c>
      <c r="B31" s="2" t="s">
        <v>56</v>
      </c>
      <c r="C31" s="36" t="s">
        <v>73</v>
      </c>
      <c r="D31" s="2" t="s">
        <v>30</v>
      </c>
      <c r="E31" s="34" t="s">
        <v>45</v>
      </c>
      <c r="M31" s="31" t="str" cm="1">
        <f t="array" ref="M31">PAGE_NAME(B31)</f>
        <v>discovery</v>
      </c>
      <c r="N31" s="31" t="str" cm="1">
        <f t="array" ref="N31">SECTION_NAME(B31)</f>
        <v>required-udap-metadata</v>
      </c>
      <c r="O31" s="5" t="str">
        <f t="shared" si="0"/>
        <v>SHALL</v>
      </c>
      <c r="P31" s="5" t="str">
        <f t="shared" si="3"/>
        <v>Server</v>
      </c>
      <c r="R31" s="5" t="s">
        <v>438</v>
      </c>
    </row>
    <row r="32" spans="1:18" ht="85" x14ac:dyDescent="0.2">
      <c r="A32" s="2">
        <v>31</v>
      </c>
      <c r="B32" s="30" t="s">
        <v>56</v>
      </c>
      <c r="C32" s="36" t="s">
        <v>74</v>
      </c>
      <c r="D32" s="2" t="s">
        <v>30</v>
      </c>
      <c r="E32" s="34" t="s">
        <v>45</v>
      </c>
      <c r="M32" s="31" t="str" cm="1">
        <f t="array" ref="M32">PAGE_NAME(B32)</f>
        <v>discovery</v>
      </c>
      <c r="N32" s="31" t="str" cm="1">
        <f t="array" ref="N32">SECTION_NAME(B32)</f>
        <v>required-udap-metadata</v>
      </c>
      <c r="O32" s="5" t="str">
        <f t="shared" ref="O32" si="4">IF(ISNUMBER(SEARCH("MAY", C32)), "MAY", IF(ISNUMBER(SEARCH("SHOULD", C32)), "SHOULD", IF(ISNUMBER(SEARCH("SHALL", C32)), "SHALL", IF(ISNUMBER(SEARCH("SHOULD NOT", C32)), "SHOULD NOT", IF(ISNUMBER(SEARCH("SHALL NOT", C32)), "SHALL NOT", "")))))</f>
        <v>SHALL</v>
      </c>
      <c r="P32" s="5" t="str">
        <f t="shared" ref="P32" si="5">IF(ISNUMBER(SEARCH("server", C32)), "Server", IF(ISNUMBER(SEARCH("Server", C32)), "Server", IF(ISNUMBER(SEARCH("client", C32)), "Client", IF(ISNUMBER(SEARCH("Client", C32)), "Client", IF(ISNUMBER(SEARCH("US Core Responder", C32)), "Server", IF(ISNUMBER(SEARCH("US Core Requestor", C32)), "Client", ""))))))</f>
        <v/>
      </c>
      <c r="R32" s="5" t="s">
        <v>438</v>
      </c>
    </row>
    <row r="33" spans="1:18" ht="136" x14ac:dyDescent="0.2">
      <c r="A33" s="2">
        <v>32</v>
      </c>
      <c r="B33" s="2" t="s">
        <v>56</v>
      </c>
      <c r="C33" s="36" t="s">
        <v>75</v>
      </c>
      <c r="D33" s="2" t="s">
        <v>30</v>
      </c>
      <c r="E33" s="34" t="s">
        <v>45</v>
      </c>
      <c r="M33" s="31" t="str" cm="1">
        <f t="array" ref="M33">PAGE_NAME(B33)</f>
        <v>discovery</v>
      </c>
      <c r="N33" s="31" t="str" cm="1">
        <f t="array" ref="N33">SECTION_NAME(B33)</f>
        <v>required-udap-metadata</v>
      </c>
      <c r="O33" s="5" t="str">
        <f t="shared" ref="O33" si="6">IF(ISNUMBER(SEARCH("MAY", C33)), "MAY", IF(ISNUMBER(SEARCH("SHOULD", C33)), "SHOULD", IF(ISNUMBER(SEARCH("SHALL", C33)), "SHALL", IF(ISNUMBER(SEARCH("SHOULD NOT", C33)), "SHOULD NOT", IF(ISNUMBER(SEARCH("SHALL NOT", C33)), "SHALL NOT", "")))))</f>
        <v>SHALL</v>
      </c>
      <c r="P33" s="5" t="str">
        <f t="shared" ref="P33" si="7">IF(ISNUMBER(SEARCH("server", C33)), "Server", IF(ISNUMBER(SEARCH("Server", C33)), "Server", IF(ISNUMBER(SEARCH("client", C33)), "Client", IF(ISNUMBER(SEARCH("Client", C33)), "Client", IF(ISNUMBER(SEARCH("US Core Responder", C33)), "Server", IF(ISNUMBER(SEARCH("US Core Requestor", C33)), "Client", ""))))))</f>
        <v>Server</v>
      </c>
      <c r="R33" s="5" t="s">
        <v>438</v>
      </c>
    </row>
    <row r="34" spans="1:18" ht="153" x14ac:dyDescent="0.2">
      <c r="A34" s="2">
        <v>33</v>
      </c>
      <c r="B34" s="2" t="s">
        <v>56</v>
      </c>
      <c r="C34" s="36" t="s">
        <v>76</v>
      </c>
      <c r="D34" s="2" t="s">
        <v>30</v>
      </c>
      <c r="E34" s="34" t="s">
        <v>45</v>
      </c>
      <c r="M34" s="31" t="str" cm="1">
        <f t="array" ref="M34">PAGE_NAME(B34)</f>
        <v>discovery</v>
      </c>
      <c r="N34" s="31" t="str" cm="1">
        <f t="array" ref="N34">SECTION_NAME(B34)</f>
        <v>required-udap-metadata</v>
      </c>
      <c r="O34" s="5" t="str">
        <f t="shared" si="0"/>
        <v>SHALL</v>
      </c>
      <c r="P34" s="5" t="str">
        <f t="shared" si="3"/>
        <v>Server</v>
      </c>
      <c r="R34" s="5" t="s">
        <v>438</v>
      </c>
    </row>
    <row r="35" spans="1:18" ht="85" x14ac:dyDescent="0.2">
      <c r="A35" s="2">
        <v>34</v>
      </c>
      <c r="B35" s="2" t="s">
        <v>56</v>
      </c>
      <c r="C35" s="36" t="s">
        <v>77</v>
      </c>
      <c r="D35" s="2" t="s">
        <v>30</v>
      </c>
      <c r="E35" s="34" t="s">
        <v>45</v>
      </c>
      <c r="M35" s="31" t="str" cm="1">
        <f t="array" ref="M35">PAGE_NAME(B35)</f>
        <v>discovery</v>
      </c>
      <c r="N35" s="31" t="str" cm="1">
        <f t="array" ref="N35">SECTION_NAME(B35)</f>
        <v>required-udap-metadata</v>
      </c>
      <c r="O35" s="5" t="str">
        <f t="shared" si="0"/>
        <v>SHALL</v>
      </c>
      <c r="P35" s="5" t="str">
        <f t="shared" si="3"/>
        <v>Server</v>
      </c>
      <c r="R35" s="5" t="s">
        <v>438</v>
      </c>
    </row>
    <row r="36" spans="1:18" ht="85" x14ac:dyDescent="0.2">
      <c r="A36" s="2">
        <v>35</v>
      </c>
      <c r="B36" s="2" t="s">
        <v>56</v>
      </c>
      <c r="C36" s="36" t="s">
        <v>78</v>
      </c>
      <c r="D36" s="2" t="s">
        <v>30</v>
      </c>
      <c r="E36" s="34" t="s">
        <v>45</v>
      </c>
      <c r="M36" s="31" t="str" cm="1">
        <f t="array" ref="M36">PAGE_NAME(B36)</f>
        <v>discovery</v>
      </c>
      <c r="N36" s="31" t="str" cm="1">
        <f t="array" ref="N36">SECTION_NAME(B36)</f>
        <v>required-udap-metadata</v>
      </c>
      <c r="O36" s="5" t="str">
        <f>IF(ISNUMBER(SEARCH("MAY", C36)), "MAY", IF(ISNUMBER(SEARCH("SHOULD", C36)), "SHOULD", IF(ISNUMBER(SEARCH("SHALL", C36)), "SHALL", IF(ISNUMBER(SEARCH("SHOULD NOT", C36)), "SHOULD NOT", IF(ISNUMBER(SEARCH("SHALL NOT", C36)), "SHALL NOT", "")))))</f>
        <v>SHALL</v>
      </c>
      <c r="P36" s="5" t="str">
        <f>IF(ISNUMBER(SEARCH("server", C36)), "Server", IF(ISNUMBER(SEARCH("Server", C36)), "Server", IF(ISNUMBER(SEARCH("client", C36)), "Client", IF(ISNUMBER(SEARCH("Client", C36)), "Client", IF(ISNUMBER(SEARCH("US Core Responder", C36)), "Server", IF(ISNUMBER(SEARCH("US Core Requestor", C36)), "Client", ""))))))</f>
        <v/>
      </c>
      <c r="R36" s="5" t="s">
        <v>438</v>
      </c>
    </row>
    <row r="37" spans="1:18" ht="102" x14ac:dyDescent="0.2">
      <c r="A37" s="2">
        <v>36</v>
      </c>
      <c r="B37" s="2" t="s">
        <v>56</v>
      </c>
      <c r="C37" s="36" t="s">
        <v>79</v>
      </c>
      <c r="D37" s="2" t="s">
        <v>30</v>
      </c>
      <c r="E37" s="34" t="s">
        <v>45</v>
      </c>
      <c r="M37" s="31" t="str" cm="1">
        <f t="array" ref="M37">PAGE_NAME(B37)</f>
        <v>discovery</v>
      </c>
      <c r="N37" s="31" t="str" cm="1">
        <f t="array" ref="N37">SECTION_NAME(B37)</f>
        <v>required-udap-metadata</v>
      </c>
      <c r="O37" s="5" t="str">
        <f t="shared" si="0"/>
        <v>SHALL</v>
      </c>
      <c r="P37" s="5" t="str">
        <f t="shared" si="3"/>
        <v>Server</v>
      </c>
      <c r="R37" s="5" t="s">
        <v>438</v>
      </c>
    </row>
    <row r="38" spans="1:18" ht="85" x14ac:dyDescent="0.2">
      <c r="A38" s="2">
        <v>37</v>
      </c>
      <c r="B38" s="2" t="s">
        <v>56</v>
      </c>
      <c r="C38" s="36" t="s">
        <v>80</v>
      </c>
      <c r="D38" s="2" t="s">
        <v>30</v>
      </c>
      <c r="E38" s="34" t="s">
        <v>45</v>
      </c>
      <c r="M38" s="31" t="str" cm="1">
        <f t="array" ref="M38">PAGE_NAME(B38)</f>
        <v>discovery</v>
      </c>
      <c r="N38" s="31" t="str" cm="1">
        <f t="array" ref="N38">SECTION_NAME(B38)</f>
        <v>required-udap-metadata</v>
      </c>
      <c r="O38" s="5" t="str">
        <f>IF(ISNUMBER(SEARCH("MAY", C38)), "MAY", IF(ISNUMBER(SEARCH("SHOULD", C38)), "SHOULD", IF(ISNUMBER(SEARCH("SHALL", C38)), "SHALL", IF(ISNUMBER(SEARCH("SHOULD NOT", C38)), "SHOULD NOT", IF(ISNUMBER(SEARCH("SHALL NOT", C38)), "SHALL NOT", "")))))</f>
        <v>SHALL</v>
      </c>
      <c r="P38" s="5" t="str">
        <f>IF(ISNUMBER(SEARCH("server", C38)), "Server", IF(ISNUMBER(SEARCH("Server", C38)), "Server", IF(ISNUMBER(SEARCH("client", C38)), "Client", IF(ISNUMBER(SEARCH("Client", C38)), "Client", IF(ISNUMBER(SEARCH("US Core Responder", C38)), "Server", IF(ISNUMBER(SEARCH("US Core Requestor", C38)), "Client", ""))))))</f>
        <v>Server</v>
      </c>
      <c r="R38" s="5" t="s">
        <v>438</v>
      </c>
    </row>
    <row r="39" spans="1:18" ht="85" x14ac:dyDescent="0.2">
      <c r="A39" s="2">
        <v>38</v>
      </c>
      <c r="B39" s="2" t="s">
        <v>56</v>
      </c>
      <c r="C39" s="36" t="s">
        <v>81</v>
      </c>
      <c r="D39" s="2" t="s">
        <v>30</v>
      </c>
      <c r="E39" s="34" t="s">
        <v>45</v>
      </c>
      <c r="G39" s="2" t="b">
        <v>1</v>
      </c>
      <c r="H39" s="5" t="s">
        <v>82</v>
      </c>
      <c r="M39" s="31" t="str" cm="1">
        <f t="array" ref="M39">PAGE_NAME(B39)</f>
        <v>discovery</v>
      </c>
      <c r="N39" s="31" t="str" cm="1">
        <f t="array" ref="N39">SECTION_NAME(B39)</f>
        <v>required-udap-metadata</v>
      </c>
      <c r="O39" s="5" t="str">
        <f t="shared" si="0"/>
        <v>SHALL</v>
      </c>
      <c r="P39" s="5" t="str">
        <f t="shared" si="3"/>
        <v>Server</v>
      </c>
      <c r="R39" s="5" t="s">
        <v>438</v>
      </c>
    </row>
    <row r="40" spans="1:18" ht="136" x14ac:dyDescent="0.2">
      <c r="A40" s="2">
        <v>39</v>
      </c>
      <c r="B40" s="2" t="s">
        <v>56</v>
      </c>
      <c r="C40" s="36" t="s">
        <v>83</v>
      </c>
      <c r="D40" s="2" t="s">
        <v>30</v>
      </c>
      <c r="E40" s="34" t="s">
        <v>45</v>
      </c>
      <c r="G40" s="2" t="b">
        <v>1</v>
      </c>
      <c r="H40" s="5" t="s">
        <v>84</v>
      </c>
      <c r="M40" s="31" t="str" cm="1">
        <f t="array" ref="M40">PAGE_NAME(B40)</f>
        <v>discovery</v>
      </c>
      <c r="N40" s="31" t="str" cm="1">
        <f t="array" ref="N40">SECTION_NAME(B40)</f>
        <v>required-udap-metadata</v>
      </c>
      <c r="O40" s="5" t="str">
        <f>IF(ISNUMBER(SEARCH("MAY", C40)), "MAY", IF(ISNUMBER(SEARCH("SHOULD", C40)), "SHOULD", IF(ISNUMBER(SEARCH("SHALL", C40)), "SHALL", IF(ISNUMBER(SEARCH("SHOULD NOT", C40)), "SHOULD NOT", IF(ISNUMBER(SEARCH("SHALL NOT", C40)), "SHALL NOT", "")))))</f>
        <v>SHALL</v>
      </c>
      <c r="P40" s="5" t="str">
        <f>IF(ISNUMBER(SEARCH("server", C40)), "Server", IF(ISNUMBER(SEARCH("Server", C40)), "Server", IF(ISNUMBER(SEARCH("client", C40)), "Client", IF(ISNUMBER(SEARCH("Client", C40)), "Client", IF(ISNUMBER(SEARCH("US Core Responder", C40)), "Server", IF(ISNUMBER(SEARCH("US Core Requestor", C40)), "Client", ""))))))</f>
        <v/>
      </c>
      <c r="R40" s="5" t="s">
        <v>438</v>
      </c>
    </row>
    <row r="41" spans="1:18" ht="85" x14ac:dyDescent="0.2">
      <c r="A41" s="2">
        <v>40</v>
      </c>
      <c r="B41" s="2" t="s">
        <v>56</v>
      </c>
      <c r="C41" s="36" t="s">
        <v>85</v>
      </c>
      <c r="D41" s="2" t="s">
        <v>30</v>
      </c>
      <c r="E41" s="34" t="s">
        <v>45</v>
      </c>
      <c r="M41" s="31" t="str" cm="1">
        <f t="array" ref="M41">PAGE_NAME(B41)</f>
        <v>discovery</v>
      </c>
      <c r="N41" s="31" t="str" cm="1">
        <f t="array" ref="N41">SECTION_NAME(B41)</f>
        <v>required-udap-metadata</v>
      </c>
      <c r="O41" s="5" t="str">
        <f t="shared" si="0"/>
        <v>SHALL</v>
      </c>
      <c r="P41" s="5" t="str">
        <f t="shared" si="3"/>
        <v>Server</v>
      </c>
      <c r="R41" s="5" t="s">
        <v>438</v>
      </c>
    </row>
    <row r="42" spans="1:18" ht="85" x14ac:dyDescent="0.2">
      <c r="A42" s="2">
        <v>41</v>
      </c>
      <c r="B42" s="2" t="s">
        <v>56</v>
      </c>
      <c r="C42" s="36" t="s">
        <v>86</v>
      </c>
      <c r="D42" s="2" t="s">
        <v>30</v>
      </c>
      <c r="E42" s="34" t="s">
        <v>45</v>
      </c>
      <c r="M42" s="31" t="str" cm="1">
        <f t="array" ref="M42">PAGE_NAME(B42)</f>
        <v>discovery</v>
      </c>
      <c r="N42" s="31" t="str" cm="1">
        <f t="array" ref="N42">SECTION_NAME(B42)</f>
        <v>required-udap-metadata</v>
      </c>
      <c r="O42" s="5" t="str">
        <f t="shared" si="0"/>
        <v>SHALL</v>
      </c>
      <c r="P42" s="5" t="str">
        <f t="shared" si="3"/>
        <v/>
      </c>
      <c r="R42" s="5" t="s">
        <v>438</v>
      </c>
    </row>
    <row r="43" spans="1:18" ht="136" x14ac:dyDescent="0.2">
      <c r="A43" s="2">
        <v>42</v>
      </c>
      <c r="B43" s="2" t="s">
        <v>56</v>
      </c>
      <c r="C43" s="36" t="s">
        <v>87</v>
      </c>
      <c r="D43" s="2" t="s">
        <v>30</v>
      </c>
      <c r="E43" s="34" t="s">
        <v>45</v>
      </c>
      <c r="M43" s="31" t="str" cm="1">
        <f t="array" ref="M43">PAGE_NAME(B43)</f>
        <v>discovery</v>
      </c>
      <c r="N43" s="31" t="str" cm="1">
        <f t="array" ref="N43">SECTION_NAME(B43)</f>
        <v>required-udap-metadata</v>
      </c>
      <c r="O43" s="5" t="str">
        <f t="shared" si="0"/>
        <v>SHALL</v>
      </c>
      <c r="P43" s="5" t="str">
        <f t="shared" si="3"/>
        <v>Server</v>
      </c>
      <c r="R43" s="5" t="s">
        <v>438</v>
      </c>
    </row>
    <row r="44" spans="1:18" ht="85" x14ac:dyDescent="0.2">
      <c r="A44" s="2">
        <v>43</v>
      </c>
      <c r="B44" s="2" t="s">
        <v>56</v>
      </c>
      <c r="C44" s="36" t="s">
        <v>88</v>
      </c>
      <c r="D44" s="2" t="s">
        <v>30</v>
      </c>
      <c r="E44" s="34" t="s">
        <v>45</v>
      </c>
      <c r="M44" s="31" t="str" cm="1">
        <f t="array" ref="M44">PAGE_NAME(B44)</f>
        <v>discovery</v>
      </c>
      <c r="N44" s="31" t="str" cm="1">
        <f t="array" ref="N44">SECTION_NAME(B44)</f>
        <v>required-udap-metadata</v>
      </c>
      <c r="O44" s="5" t="str">
        <f t="shared" si="0"/>
        <v>SHALL</v>
      </c>
      <c r="P44" s="5" t="str">
        <f t="shared" si="3"/>
        <v>Server</v>
      </c>
      <c r="R44" s="5" t="s">
        <v>438</v>
      </c>
    </row>
    <row r="45" spans="1:18" ht="85" x14ac:dyDescent="0.2">
      <c r="A45" s="2">
        <v>44</v>
      </c>
      <c r="B45" s="2" t="s">
        <v>56</v>
      </c>
      <c r="C45" s="36" t="s">
        <v>89</v>
      </c>
      <c r="D45" s="34" t="s">
        <v>37</v>
      </c>
      <c r="E45" s="34" t="s">
        <v>45</v>
      </c>
      <c r="M45" s="31" t="str" cm="1">
        <f t="array" ref="M45">PAGE_NAME(B45)</f>
        <v>discovery</v>
      </c>
      <c r="N45" s="31" t="str" cm="1">
        <f t="array" ref="N45">SECTION_NAME(B45)</f>
        <v>required-udap-metadata</v>
      </c>
      <c r="O45" s="5" t="str">
        <f t="shared" si="0"/>
        <v/>
      </c>
      <c r="P45" s="5" t="str">
        <f t="shared" si="3"/>
        <v/>
      </c>
      <c r="R45" s="5" t="s">
        <v>438</v>
      </c>
    </row>
    <row r="46" spans="1:18" ht="153" x14ac:dyDescent="0.2">
      <c r="A46" s="2">
        <v>45</v>
      </c>
      <c r="B46" s="2" t="s">
        <v>56</v>
      </c>
      <c r="C46" s="36" t="s">
        <v>90</v>
      </c>
      <c r="D46" s="34" t="s">
        <v>30</v>
      </c>
      <c r="E46" s="34" t="s">
        <v>45</v>
      </c>
      <c r="G46" s="2" t="b">
        <v>1</v>
      </c>
      <c r="H46" s="5" t="s">
        <v>91</v>
      </c>
      <c r="M46" s="31" t="str" cm="1">
        <f t="array" ref="M46">PAGE_NAME(B46)</f>
        <v>discovery</v>
      </c>
      <c r="N46" s="31" t="str" cm="1">
        <f t="array" ref="N46">SECTION_NAME(B46)</f>
        <v>required-udap-metadata</v>
      </c>
      <c r="O46" s="5" t="str">
        <f>IF(ISNUMBER(SEARCH("MAY", C46)), "MAY", IF(ISNUMBER(SEARCH("SHOULD", C46)), "SHOULD", IF(ISNUMBER(SEARCH("SHALL", C46)), "SHALL", IF(ISNUMBER(SEARCH("SHOULD NOT", C46)), "SHOULD NOT", IF(ISNUMBER(SEARCH("SHALL NOT", C46)), "SHALL NOT", "")))))</f>
        <v>SHALL</v>
      </c>
      <c r="P46" s="5" t="str">
        <f>IF(ISNUMBER(SEARCH("server", C46)), "Server", IF(ISNUMBER(SEARCH("Server", C46)), "Server", IF(ISNUMBER(SEARCH("client", C46)), "Client", IF(ISNUMBER(SEARCH("Client", C46)), "Client", IF(ISNUMBER(SEARCH("US Core Responder", C46)), "Server", IF(ISNUMBER(SEARCH("US Core Requestor", C46)), "Client", ""))))))</f>
        <v>Server</v>
      </c>
      <c r="R46" s="5" t="s">
        <v>438</v>
      </c>
    </row>
    <row r="47" spans="1:18" ht="85" x14ac:dyDescent="0.2">
      <c r="A47" s="2">
        <v>46</v>
      </c>
      <c r="B47" s="2" t="s">
        <v>56</v>
      </c>
      <c r="C47" s="36" t="s">
        <v>92</v>
      </c>
      <c r="D47" s="2" t="s">
        <v>30</v>
      </c>
      <c r="E47" s="34" t="s">
        <v>45</v>
      </c>
      <c r="M47" s="31" t="str" cm="1">
        <f t="array" ref="M47">PAGE_NAME(B47)</f>
        <v>discovery</v>
      </c>
      <c r="N47" s="31" t="str" cm="1">
        <f t="array" ref="N47">SECTION_NAME(B47)</f>
        <v>required-udap-metadata</v>
      </c>
      <c r="O47" s="5" t="str">
        <f t="shared" si="0"/>
        <v>SHALL</v>
      </c>
      <c r="P47" s="5" t="str">
        <f t="shared" si="3"/>
        <v>Server</v>
      </c>
      <c r="R47" s="5" t="s">
        <v>438</v>
      </c>
    </row>
    <row r="48" spans="1:18" ht="85" x14ac:dyDescent="0.2">
      <c r="A48" s="2">
        <v>47</v>
      </c>
      <c r="B48" s="2" t="s">
        <v>93</v>
      </c>
      <c r="C48" s="36" t="s">
        <v>94</v>
      </c>
      <c r="D48" s="34" t="s">
        <v>30</v>
      </c>
      <c r="E48" s="34" t="s">
        <v>45</v>
      </c>
      <c r="M48" s="31" t="str" cm="1">
        <f t="array" ref="M48">PAGE_NAME(B48)</f>
        <v>discovery</v>
      </c>
      <c r="N48" s="31" t="str" cm="1">
        <f t="array" ref="N48">SECTION_NAME(B48)</f>
        <v>signed-metadata-elements</v>
      </c>
      <c r="O48" s="5" t="str">
        <f t="shared" si="0"/>
        <v>SHALL</v>
      </c>
      <c r="P48" s="5" t="str">
        <f t="shared" si="3"/>
        <v>Server</v>
      </c>
      <c r="R48" s="5" t="s">
        <v>438</v>
      </c>
    </row>
    <row r="49" spans="1:18" ht="136" x14ac:dyDescent="0.2">
      <c r="A49" s="2">
        <v>48</v>
      </c>
      <c r="B49" s="2" t="s">
        <v>93</v>
      </c>
      <c r="C49" s="36" t="s">
        <v>95</v>
      </c>
      <c r="D49" s="34" t="s">
        <v>30</v>
      </c>
      <c r="E49" s="34" t="s">
        <v>45</v>
      </c>
      <c r="M49" s="31" t="str" cm="1">
        <f t="array" ref="M49">PAGE_NAME(B49)</f>
        <v>discovery</v>
      </c>
      <c r="N49" s="31" t="str" cm="1">
        <f t="array" ref="N49">SECTION_NAME(B49)</f>
        <v>signed-metadata-elements</v>
      </c>
      <c r="O49" s="5" t="str">
        <f>IF(ISNUMBER(SEARCH("MAY", C49)), "MAY", IF(ISNUMBER(SEARCH("SHOULD", C49)), "SHOULD", IF(ISNUMBER(SEARCH("SHALL", C49)), "SHALL", IF(ISNUMBER(SEARCH("SHOULD NOT", C49)), "SHOULD NOT", IF(ISNUMBER(SEARCH("SHALL NOT", C49)), "SHALL NOT", "")))))</f>
        <v>SHALL</v>
      </c>
      <c r="P49" s="5" t="str">
        <f>IF(ISNUMBER(SEARCH("server", C49)), "Server", IF(ISNUMBER(SEARCH("Server", C49)), "Server", IF(ISNUMBER(SEARCH("client", C49)), "Client", IF(ISNUMBER(SEARCH("Client", C49)), "Client", IF(ISNUMBER(SEARCH("US Core Responder", C49)), "Server", IF(ISNUMBER(SEARCH("US Core Requestor", C49)), "Client", ""))))))</f>
        <v>Server</v>
      </c>
      <c r="R49" s="5" t="s">
        <v>438</v>
      </c>
    </row>
    <row r="50" spans="1:18" ht="102" x14ac:dyDescent="0.2">
      <c r="A50" s="2">
        <v>49</v>
      </c>
      <c r="B50" s="2" t="s">
        <v>93</v>
      </c>
      <c r="C50" s="36" t="s">
        <v>96</v>
      </c>
      <c r="D50" s="34" t="s">
        <v>30</v>
      </c>
      <c r="E50" s="34" t="s">
        <v>45</v>
      </c>
      <c r="M50" s="31" t="str" cm="1">
        <f t="array" ref="M50">PAGE_NAME(B50)</f>
        <v>discovery</v>
      </c>
      <c r="N50" s="31" t="str" cm="1">
        <f t="array" ref="N50">SECTION_NAME(B50)</f>
        <v>signed-metadata-elements</v>
      </c>
      <c r="O50" s="5" t="str">
        <f>IF(ISNUMBER(SEARCH("MAY", C50)), "MAY", IF(ISNUMBER(SEARCH("SHOULD", C50)), "SHOULD", IF(ISNUMBER(SEARCH("SHALL", C50)), "SHALL", IF(ISNUMBER(SEARCH("SHOULD NOT", C50)), "SHOULD NOT", IF(ISNUMBER(SEARCH("SHALL NOT", C50)), "SHALL NOT", "")))))</f>
        <v>SHALL</v>
      </c>
      <c r="P50" s="5" t="str">
        <f>IF(ISNUMBER(SEARCH("server", C50)), "Server", IF(ISNUMBER(SEARCH("Server", C50)), "Server", IF(ISNUMBER(SEARCH("client", C50)), "Client", IF(ISNUMBER(SEARCH("Client", C50)), "Client", IF(ISNUMBER(SEARCH("US Core Responder", C50)), "Server", IF(ISNUMBER(SEARCH("US Core Requestor", C50)), "Client", ""))))))</f>
        <v>Server</v>
      </c>
      <c r="R50" s="5" t="s">
        <v>438</v>
      </c>
    </row>
    <row r="51" spans="1:18" ht="85" x14ac:dyDescent="0.2">
      <c r="A51" s="2">
        <v>50</v>
      </c>
      <c r="B51" s="2" t="s">
        <v>93</v>
      </c>
      <c r="C51" s="36" t="s">
        <v>97</v>
      </c>
      <c r="D51" s="34" t="s">
        <v>30</v>
      </c>
      <c r="E51" s="34" t="s">
        <v>45</v>
      </c>
      <c r="M51" s="31" t="str" cm="1">
        <f t="array" ref="M51">PAGE_NAME(B51)</f>
        <v>discovery</v>
      </c>
      <c r="N51" s="31" t="str" cm="1">
        <f t="array" ref="N51">SECTION_NAME(B51)</f>
        <v>signed-metadata-elements</v>
      </c>
      <c r="O51" s="5" t="str">
        <f>IF(ISNUMBER(SEARCH("MAY", C51)), "MAY", IF(ISNUMBER(SEARCH("SHOULD", C51)), "SHOULD", IF(ISNUMBER(SEARCH("SHALL", C51)), "SHALL", IF(ISNUMBER(SEARCH("SHOULD NOT", C51)), "SHOULD NOT", IF(ISNUMBER(SEARCH("SHALL NOT", C51)), "SHALL NOT", "")))))</f>
        <v>SHALL</v>
      </c>
      <c r="P51" s="5" t="str">
        <f>IF(ISNUMBER(SEARCH("server", C51)), "Server", IF(ISNUMBER(SEARCH("Server", C51)), "Server", IF(ISNUMBER(SEARCH("client", C51)), "Client", IF(ISNUMBER(SEARCH("Client", C51)), "Client", IF(ISNUMBER(SEARCH("US Core Responder", C51)), "Server", IF(ISNUMBER(SEARCH("US Core Requestor", C51)), "Client", ""))))))</f>
        <v>Server</v>
      </c>
      <c r="R51" s="5" t="s">
        <v>438</v>
      </c>
    </row>
    <row r="52" spans="1:18" ht="85" x14ac:dyDescent="0.2">
      <c r="A52" s="2">
        <v>51</v>
      </c>
      <c r="B52" s="2" t="s">
        <v>93</v>
      </c>
      <c r="C52" s="36" t="s">
        <v>98</v>
      </c>
      <c r="D52" s="34" t="s">
        <v>30</v>
      </c>
      <c r="E52" s="34" t="s">
        <v>45</v>
      </c>
      <c r="M52" s="31" t="str" cm="1">
        <f t="array" ref="M52">PAGE_NAME(B52)</f>
        <v>discovery</v>
      </c>
      <c r="N52" s="31" t="str" cm="1">
        <f t="array" ref="N52">SECTION_NAME(B52)</f>
        <v>signed-metadata-elements</v>
      </c>
      <c r="O52" s="5" t="str">
        <f t="shared" si="0"/>
        <v>SHALL</v>
      </c>
      <c r="P52" s="5" t="str">
        <f t="shared" si="3"/>
        <v/>
      </c>
      <c r="R52" s="5" t="s">
        <v>438</v>
      </c>
    </row>
    <row r="53" spans="1:18" ht="85" x14ac:dyDescent="0.2">
      <c r="A53" s="2">
        <v>52</v>
      </c>
      <c r="B53" s="2" t="s">
        <v>93</v>
      </c>
      <c r="C53" s="36" t="s">
        <v>99</v>
      </c>
      <c r="D53" s="34" t="s">
        <v>30</v>
      </c>
      <c r="E53" s="34" t="s">
        <v>45</v>
      </c>
      <c r="M53" s="31" t="str" cm="1">
        <f t="array" ref="M53">PAGE_NAME(B53)</f>
        <v>discovery</v>
      </c>
      <c r="N53" s="31" t="str" cm="1">
        <f t="array" ref="N53">SECTION_NAME(B53)</f>
        <v>signed-metadata-elements</v>
      </c>
      <c r="O53" s="5" t="str">
        <f t="shared" si="0"/>
        <v>SHALL</v>
      </c>
      <c r="P53" s="5" t="str">
        <f t="shared" si="3"/>
        <v/>
      </c>
      <c r="R53" s="5" t="s">
        <v>438</v>
      </c>
    </row>
    <row r="54" spans="1:18" ht="85" x14ac:dyDescent="0.2">
      <c r="A54" s="2">
        <v>53</v>
      </c>
      <c r="B54" s="2" t="s">
        <v>93</v>
      </c>
      <c r="C54" s="36" t="s">
        <v>100</v>
      </c>
      <c r="D54" s="34" t="s">
        <v>30</v>
      </c>
      <c r="E54" s="34" t="s">
        <v>45</v>
      </c>
      <c r="M54" s="31" t="str" cm="1">
        <f t="array" ref="M54">PAGE_NAME(B54)</f>
        <v>discovery</v>
      </c>
      <c r="N54" s="31" t="str" cm="1">
        <f t="array" ref="N54">SECTION_NAME(B54)</f>
        <v>signed-metadata-elements</v>
      </c>
      <c r="O54" s="5" t="str">
        <f>IF(ISNUMBER(SEARCH("MAY", C54)), "MAY", IF(ISNUMBER(SEARCH("SHOULD", C54)), "SHOULD", IF(ISNUMBER(SEARCH("SHALL", C54)), "SHALL", IF(ISNUMBER(SEARCH("SHOULD NOT", C54)), "SHOULD NOT", IF(ISNUMBER(SEARCH("SHALL NOT", C54)), "SHALL NOT", "")))))</f>
        <v>SHALL</v>
      </c>
      <c r="P54" s="5" t="str">
        <f>IF(ISNUMBER(SEARCH("server", C54)), "Server", IF(ISNUMBER(SEARCH("Server", C54)), "Server", IF(ISNUMBER(SEARCH("client", C54)), "Client", IF(ISNUMBER(SEARCH("Client", C54)), "Client", IF(ISNUMBER(SEARCH("US Core Responder", C54)), "Server", IF(ISNUMBER(SEARCH("US Core Requestor", C54)), "Client", ""))))))</f>
        <v>Server</v>
      </c>
      <c r="R54" s="5" t="s">
        <v>438</v>
      </c>
    </row>
    <row r="55" spans="1:18" ht="85" x14ac:dyDescent="0.2">
      <c r="A55" s="2">
        <v>54</v>
      </c>
      <c r="B55" s="2" t="s">
        <v>93</v>
      </c>
      <c r="C55" s="36" t="s">
        <v>101</v>
      </c>
      <c r="D55" s="34" t="s">
        <v>30</v>
      </c>
      <c r="E55" s="34" t="s">
        <v>45</v>
      </c>
      <c r="M55" s="31" t="str" cm="1">
        <f t="array" ref="M55">PAGE_NAME(B55)</f>
        <v>discovery</v>
      </c>
      <c r="N55" s="31" t="str" cm="1">
        <f t="array" ref="N55">SECTION_NAME(B55)</f>
        <v>signed-metadata-elements</v>
      </c>
      <c r="O55" s="5" t="str">
        <f t="shared" si="0"/>
        <v>SHALL</v>
      </c>
      <c r="P55" s="5" t="str">
        <f t="shared" si="3"/>
        <v/>
      </c>
      <c r="R55" s="5" t="s">
        <v>438</v>
      </c>
    </row>
    <row r="56" spans="1:18" ht="85" x14ac:dyDescent="0.2">
      <c r="A56" s="2">
        <v>55</v>
      </c>
      <c r="B56" s="2" t="s">
        <v>93</v>
      </c>
      <c r="C56" s="36" t="s">
        <v>102</v>
      </c>
      <c r="D56" s="34" t="s">
        <v>30</v>
      </c>
      <c r="E56" s="34" t="s">
        <v>45</v>
      </c>
      <c r="M56" s="31" t="str" cm="1">
        <f t="array" ref="M56">PAGE_NAME(B56)</f>
        <v>discovery</v>
      </c>
      <c r="N56" s="31" t="str" cm="1">
        <f t="array" ref="N56">SECTION_NAME(B56)</f>
        <v>signed-metadata-elements</v>
      </c>
      <c r="O56" s="5" t="str">
        <f t="shared" si="0"/>
        <v>SHALL</v>
      </c>
      <c r="P56" s="5" t="str">
        <f t="shared" si="3"/>
        <v/>
      </c>
      <c r="R56" s="5" t="s">
        <v>438</v>
      </c>
    </row>
    <row r="57" spans="1:18" ht="85" x14ac:dyDescent="0.2">
      <c r="A57" s="2">
        <v>56</v>
      </c>
      <c r="B57" s="2" t="s">
        <v>93</v>
      </c>
      <c r="C57" s="36" t="s">
        <v>103</v>
      </c>
      <c r="D57" s="34" t="s">
        <v>30</v>
      </c>
      <c r="E57" s="34" t="s">
        <v>45</v>
      </c>
      <c r="M57" s="31" t="str" cm="1">
        <f t="array" ref="M57">PAGE_NAME(B57)</f>
        <v>discovery</v>
      </c>
      <c r="N57" s="31" t="str" cm="1">
        <f t="array" ref="N57">SECTION_NAME(B57)</f>
        <v>signed-metadata-elements</v>
      </c>
      <c r="O57" s="5" t="str">
        <f>IF(ISNUMBER(SEARCH("MAY", C57)), "MAY", IF(ISNUMBER(SEARCH("SHOULD", C57)), "SHOULD", IF(ISNUMBER(SEARCH("SHALL", C57)), "SHALL", IF(ISNUMBER(SEARCH("SHOULD NOT", C57)), "SHOULD NOT", IF(ISNUMBER(SEARCH("SHALL NOT", C57)), "SHALL NOT", "")))))</f>
        <v>SHALL</v>
      </c>
      <c r="P57" s="5" t="str">
        <f>IF(ISNUMBER(SEARCH("server", C57)), "Server", IF(ISNUMBER(SEARCH("Server", C57)), "Server", IF(ISNUMBER(SEARCH("client", C57)), "Client", IF(ISNUMBER(SEARCH("Client", C57)), "Client", IF(ISNUMBER(SEARCH("US Core Responder", C57)), "Server", IF(ISNUMBER(SEARCH("US Core Requestor", C57)), "Client", ""))))))</f>
        <v>Server</v>
      </c>
      <c r="R57" s="5" t="s">
        <v>438</v>
      </c>
    </row>
    <row r="58" spans="1:18" ht="85" x14ac:dyDescent="0.2">
      <c r="A58" s="2">
        <v>57</v>
      </c>
      <c r="B58" s="2" t="s">
        <v>93</v>
      </c>
      <c r="C58" s="36" t="s">
        <v>104</v>
      </c>
      <c r="D58" s="34" t="s">
        <v>30</v>
      </c>
      <c r="E58" s="34" t="s">
        <v>45</v>
      </c>
      <c r="M58" s="31" t="str" cm="1">
        <f t="array" ref="M58">PAGE_NAME(B58)</f>
        <v>discovery</v>
      </c>
      <c r="N58" s="31" t="str" cm="1">
        <f t="array" ref="N58">SECTION_NAME(B58)</f>
        <v>signed-metadata-elements</v>
      </c>
      <c r="O58" s="5" t="str">
        <f t="shared" si="0"/>
        <v>SHALL</v>
      </c>
      <c r="P58" s="5" t="str">
        <f t="shared" si="3"/>
        <v/>
      </c>
      <c r="R58" s="5" t="s">
        <v>438</v>
      </c>
    </row>
    <row r="59" spans="1:18" ht="85" x14ac:dyDescent="0.2">
      <c r="A59" s="2">
        <v>58</v>
      </c>
      <c r="B59" s="2" t="s">
        <v>93</v>
      </c>
      <c r="C59" s="36" t="s">
        <v>105</v>
      </c>
      <c r="D59" s="34" t="s">
        <v>30</v>
      </c>
      <c r="E59" s="34" t="s">
        <v>45</v>
      </c>
      <c r="M59" s="31" t="str" cm="1">
        <f t="array" ref="M59">PAGE_NAME(B59)</f>
        <v>discovery</v>
      </c>
      <c r="N59" s="31" t="str" cm="1">
        <f t="array" ref="N59">SECTION_NAME(B59)</f>
        <v>signed-metadata-elements</v>
      </c>
      <c r="O59" s="5" t="str">
        <f t="shared" si="0"/>
        <v>SHALL</v>
      </c>
      <c r="P59" s="5" t="str">
        <f t="shared" si="3"/>
        <v>Server</v>
      </c>
      <c r="R59" s="5" t="s">
        <v>438</v>
      </c>
    </row>
    <row r="60" spans="1:18" ht="85" x14ac:dyDescent="0.2">
      <c r="A60" s="2">
        <v>59</v>
      </c>
      <c r="B60" s="2" t="s">
        <v>93</v>
      </c>
      <c r="C60" s="36" t="s">
        <v>106</v>
      </c>
      <c r="D60" s="34" t="s">
        <v>30</v>
      </c>
      <c r="E60" s="34" t="s">
        <v>45</v>
      </c>
      <c r="M60" s="31" t="str" cm="1">
        <f t="array" ref="M60">PAGE_NAME(B60)</f>
        <v>discovery</v>
      </c>
      <c r="N60" s="31" t="str" cm="1">
        <f t="array" ref="N60">SECTION_NAME(B60)</f>
        <v>signed-metadata-elements</v>
      </c>
      <c r="O60" s="5" t="str">
        <f t="shared" ref="O60:O67" si="8">IF(ISNUMBER(SEARCH("MAY", C60)), "MAY", IF(ISNUMBER(SEARCH("SHOULD", C60)), "SHOULD", IF(ISNUMBER(SEARCH("SHALL", C60)), "SHALL", IF(ISNUMBER(SEARCH("SHOULD NOT", C60)), "SHOULD NOT", IF(ISNUMBER(SEARCH("SHALL NOT", C60)), "SHALL NOT", "")))))</f>
        <v>SHALL</v>
      </c>
      <c r="P60" s="5" t="str">
        <f t="shared" ref="P60:P67" si="9">IF(ISNUMBER(SEARCH("server", C60)), "Server", IF(ISNUMBER(SEARCH("Server", C60)), "Server", IF(ISNUMBER(SEARCH("client", C60)), "Client", IF(ISNUMBER(SEARCH("Client", C60)), "Client", IF(ISNUMBER(SEARCH("US Core Responder", C60)), "Server", IF(ISNUMBER(SEARCH("US Core Requestor", C60)), "Client", ""))))))</f>
        <v>Server</v>
      </c>
      <c r="R60" s="5" t="s">
        <v>438</v>
      </c>
    </row>
    <row r="61" spans="1:18" ht="136" x14ac:dyDescent="0.2">
      <c r="A61" s="2">
        <v>60</v>
      </c>
      <c r="B61" s="2" t="s">
        <v>107</v>
      </c>
      <c r="C61" s="36" t="s">
        <v>108</v>
      </c>
      <c r="D61" s="2" t="s">
        <v>39</v>
      </c>
      <c r="E61" s="2" t="s">
        <v>54</v>
      </c>
      <c r="M61" s="31" t="str" cm="1">
        <f t="array" ref="M61">PAGE_NAME(B61)</f>
        <v>discovery</v>
      </c>
      <c r="N61" s="31" t="str" cm="1">
        <f t="array" ref="N61">SECTION_NAME(B61)</f>
        <v>multiple-trust-communities</v>
      </c>
      <c r="O61" s="5" t="str">
        <f t="shared" si="8"/>
        <v>MAY</v>
      </c>
      <c r="P61" s="5" t="str">
        <f t="shared" si="9"/>
        <v>Client</v>
      </c>
      <c r="R61" s="5" t="s">
        <v>441</v>
      </c>
    </row>
    <row r="62" spans="1:18" ht="85" x14ac:dyDescent="0.2">
      <c r="A62" s="2">
        <v>61</v>
      </c>
      <c r="B62" s="2" t="s">
        <v>107</v>
      </c>
      <c r="C62" s="36" t="s">
        <v>109</v>
      </c>
      <c r="D62" s="2" t="s">
        <v>30</v>
      </c>
      <c r="E62" s="2" t="s">
        <v>54</v>
      </c>
      <c r="M62" s="31" t="str" cm="1">
        <f t="array" ref="M62">PAGE_NAME(B62)</f>
        <v>discovery</v>
      </c>
      <c r="N62" s="31" t="str" cm="1">
        <f t="array" ref="N62">SECTION_NAME(B62)</f>
        <v>multiple-trust-communities</v>
      </c>
      <c r="O62" s="5" t="str">
        <f t="shared" si="8"/>
        <v>SHALL</v>
      </c>
      <c r="P62" s="5" t="str">
        <f t="shared" si="9"/>
        <v>Client</v>
      </c>
      <c r="R62" s="5" t="s">
        <v>441</v>
      </c>
    </row>
    <row r="63" spans="1:18" ht="119" x14ac:dyDescent="0.2">
      <c r="A63" s="2">
        <v>62</v>
      </c>
      <c r="B63" s="2" t="s">
        <v>107</v>
      </c>
      <c r="C63" s="36" t="s">
        <v>110</v>
      </c>
      <c r="D63" s="2" t="s">
        <v>30</v>
      </c>
      <c r="E63" s="2" t="s">
        <v>45</v>
      </c>
      <c r="M63" s="31" t="str" cm="1">
        <f t="array" ref="M63">PAGE_NAME(B63)</f>
        <v>discovery</v>
      </c>
      <c r="N63" s="31" t="str" cm="1">
        <f t="array" ref="N63">SECTION_NAME(B63)</f>
        <v>multiple-trust-communities</v>
      </c>
      <c r="O63" s="5" t="str">
        <f t="shared" ref="O63" si="10">IF(ISNUMBER(SEARCH("MAY", C63)), "MAY", IF(ISNUMBER(SEARCH("SHOULD", C63)), "SHOULD", IF(ISNUMBER(SEARCH("SHALL", C63)), "SHALL", IF(ISNUMBER(SEARCH("SHOULD NOT", C63)), "SHOULD NOT", IF(ISNUMBER(SEARCH("SHALL NOT", C63)), "SHALL NOT", "")))))</f>
        <v>SHALL</v>
      </c>
      <c r="P63" s="5" t="str">
        <f t="shared" ref="P63" si="11">IF(ISNUMBER(SEARCH("server", C63)), "Server", IF(ISNUMBER(SEARCH("Server", C63)), "Server", IF(ISNUMBER(SEARCH("client", C63)), "Client", IF(ISNUMBER(SEARCH("Client", C63)), "Client", IF(ISNUMBER(SEARCH("US Core Responder", C63)), "Server", IF(ISNUMBER(SEARCH("US Core Requestor", C63)), "Client", ""))))))</f>
        <v>Server</v>
      </c>
      <c r="R63" s="5" t="s">
        <v>441</v>
      </c>
    </row>
    <row r="64" spans="1:18" ht="136" x14ac:dyDescent="0.2">
      <c r="A64" s="2">
        <v>63</v>
      </c>
      <c r="B64" s="2" t="s">
        <v>107</v>
      </c>
      <c r="C64" s="36" t="s">
        <v>111</v>
      </c>
      <c r="D64" s="2" t="s">
        <v>39</v>
      </c>
      <c r="E64" s="2" t="s">
        <v>45</v>
      </c>
      <c r="M64" s="31" t="str" cm="1">
        <f t="array" ref="M64">PAGE_NAME(B64)</f>
        <v>discovery</v>
      </c>
      <c r="N64" s="31" t="str" cm="1">
        <f t="array" ref="N64">SECTION_NAME(B64)</f>
        <v>multiple-trust-communities</v>
      </c>
      <c r="O64" s="5" t="str">
        <f t="shared" ref="O64:O65" si="12">IF(ISNUMBER(SEARCH("MAY", C64)), "MAY", IF(ISNUMBER(SEARCH("SHOULD", C64)), "SHOULD", IF(ISNUMBER(SEARCH("SHALL", C64)), "SHALL", IF(ISNUMBER(SEARCH("SHOULD NOT", C64)), "SHOULD NOT", IF(ISNUMBER(SEARCH("SHALL NOT", C64)), "SHALL NOT", "")))))</f>
        <v>MAY</v>
      </c>
      <c r="P64" s="5" t="str">
        <f t="shared" ref="P64:P65" si="13">IF(ISNUMBER(SEARCH("server", C64)), "Server", IF(ISNUMBER(SEARCH("Server", C64)), "Server", IF(ISNUMBER(SEARCH("client", C64)), "Client", IF(ISNUMBER(SEARCH("Client", C64)), "Client", IF(ISNUMBER(SEARCH("US Core Responder", C64)), "Server", IF(ISNUMBER(SEARCH("US Core Requestor", C64)), "Client", ""))))))</f>
        <v>Server</v>
      </c>
      <c r="R64" s="5" t="s">
        <v>441</v>
      </c>
    </row>
    <row r="65" spans="1:18" ht="170" x14ac:dyDescent="0.2">
      <c r="A65" s="2">
        <v>64</v>
      </c>
      <c r="B65" s="2" t="s">
        <v>107</v>
      </c>
      <c r="C65" s="36" t="s">
        <v>112</v>
      </c>
      <c r="D65" s="2" t="s">
        <v>39</v>
      </c>
      <c r="E65" s="2" t="s">
        <v>45</v>
      </c>
      <c r="M65" s="31" t="str" cm="1">
        <f t="array" ref="M65">PAGE_NAME(B65)</f>
        <v>discovery</v>
      </c>
      <c r="N65" s="31" t="str" cm="1">
        <f t="array" ref="N65">SECTION_NAME(B65)</f>
        <v>multiple-trust-communities</v>
      </c>
      <c r="O65" s="5" t="str">
        <f t="shared" si="12"/>
        <v>MAY</v>
      </c>
      <c r="P65" s="5" t="str">
        <f t="shared" si="13"/>
        <v>Server</v>
      </c>
      <c r="R65" s="5" t="s">
        <v>441</v>
      </c>
    </row>
    <row r="66" spans="1:18" ht="102" x14ac:dyDescent="0.2">
      <c r="A66" s="2">
        <v>65</v>
      </c>
      <c r="B66" s="2" t="s">
        <v>107</v>
      </c>
      <c r="C66" s="36" t="s">
        <v>113</v>
      </c>
      <c r="D66" s="2" t="s">
        <v>39</v>
      </c>
      <c r="E66" s="2" t="s">
        <v>45</v>
      </c>
      <c r="M66" s="31" t="str" cm="1">
        <f t="array" ref="M66">PAGE_NAME(B66)</f>
        <v>discovery</v>
      </c>
      <c r="N66" s="31" t="str" cm="1">
        <f t="array" ref="N66">SECTION_NAME(B66)</f>
        <v>multiple-trust-communities</v>
      </c>
      <c r="O66" s="5" t="str">
        <f t="shared" ref="O66" si="14">IF(ISNUMBER(SEARCH("MAY", C66)), "MAY", IF(ISNUMBER(SEARCH("SHOULD", C66)), "SHOULD", IF(ISNUMBER(SEARCH("SHALL", C66)), "SHALL", IF(ISNUMBER(SEARCH("SHOULD NOT", C66)), "SHOULD NOT", IF(ISNUMBER(SEARCH("SHALL NOT", C66)), "SHALL NOT", "")))))</f>
        <v>MAY</v>
      </c>
      <c r="P66" s="5" t="str">
        <f t="shared" ref="P66" si="15">IF(ISNUMBER(SEARCH("server", C66)), "Server", IF(ISNUMBER(SEARCH("Server", C66)), "Server", IF(ISNUMBER(SEARCH("client", C66)), "Client", IF(ISNUMBER(SEARCH("Client", C66)), "Client", IF(ISNUMBER(SEARCH("US Core Responder", C66)), "Server", IF(ISNUMBER(SEARCH("US Core Requestor", C66)), "Client", ""))))))</f>
        <v>Server</v>
      </c>
      <c r="R66" s="5" t="s">
        <v>441</v>
      </c>
    </row>
    <row r="67" spans="1:18" ht="85" x14ac:dyDescent="0.2">
      <c r="A67" s="2">
        <v>66</v>
      </c>
      <c r="B67" s="30" t="s">
        <v>114</v>
      </c>
      <c r="C67" s="36" t="s">
        <v>115</v>
      </c>
      <c r="D67" s="2" t="s">
        <v>30</v>
      </c>
      <c r="E67" s="2" t="s">
        <v>54</v>
      </c>
      <c r="M67" s="31" t="str" cm="1">
        <f t="array" ref="M67">PAGE_NAME(B67)</f>
        <v>registration</v>
      </c>
      <c r="N67" s="31" t="str" cm="1">
        <f t="array" ref="N67">SECTION_NAME(B67)</f>
        <v>registration</v>
      </c>
      <c r="O67" s="5" t="str">
        <f t="shared" si="8"/>
        <v>SHALL</v>
      </c>
      <c r="P67" s="5" t="str">
        <f t="shared" si="9"/>
        <v>Server</v>
      </c>
      <c r="R67" s="5" t="s">
        <v>440</v>
      </c>
    </row>
    <row r="68" spans="1:18" ht="68" x14ac:dyDescent="0.2">
      <c r="A68" s="2">
        <v>67</v>
      </c>
      <c r="B68" s="30" t="s">
        <v>114</v>
      </c>
      <c r="C68" s="36" t="s">
        <v>116</v>
      </c>
      <c r="D68" s="2" t="s">
        <v>30</v>
      </c>
      <c r="E68" s="2" t="s">
        <v>54</v>
      </c>
      <c r="M68" s="31" t="str" cm="1">
        <f t="array" ref="M68">PAGE_NAME(B68)</f>
        <v>registration</v>
      </c>
      <c r="N68" s="31" t="str" cm="1">
        <f t="array" ref="N68">SECTION_NAME(B68)</f>
        <v>registration</v>
      </c>
      <c r="O68" s="5" t="str">
        <f t="shared" ref="O68" si="16">IF(ISNUMBER(SEARCH("MAY", C68)), "MAY", IF(ISNUMBER(SEARCH("SHOULD", C68)), "SHOULD", IF(ISNUMBER(SEARCH("SHALL", C68)), "SHALL", IF(ISNUMBER(SEARCH("SHOULD NOT", C68)), "SHOULD NOT", IF(ISNUMBER(SEARCH("SHALL NOT", C68)), "SHALL NOT", "")))))</f>
        <v>SHALL</v>
      </c>
      <c r="P68" s="5" t="str">
        <f t="shared" ref="P68" si="17">IF(ISNUMBER(SEARCH("server", C68)), "Server", IF(ISNUMBER(SEARCH("Server", C68)), "Server", IF(ISNUMBER(SEARCH("client", C68)), "Client", IF(ISNUMBER(SEARCH("Client", C68)), "Client", IF(ISNUMBER(SEARCH("US Core Responder", C68)), "Server", IF(ISNUMBER(SEARCH("US Core Requestor", C68)), "Client", ""))))))</f>
        <v>Server</v>
      </c>
      <c r="R68" s="5" t="s">
        <v>440</v>
      </c>
    </row>
    <row r="69" spans="1:18" ht="102" x14ac:dyDescent="0.2">
      <c r="A69" s="2">
        <v>68</v>
      </c>
      <c r="B69" s="30" t="s">
        <v>114</v>
      </c>
      <c r="C69" s="36" t="s">
        <v>117</v>
      </c>
      <c r="D69" s="2" t="s">
        <v>30</v>
      </c>
      <c r="E69" s="2" t="s">
        <v>45</v>
      </c>
      <c r="M69" s="31" t="str" cm="1">
        <f t="array" ref="M69">PAGE_NAME(B69)</f>
        <v>registration</v>
      </c>
      <c r="N69" s="31" t="str" cm="1">
        <f t="array" ref="N69">SECTION_NAME(B69)</f>
        <v>registration</v>
      </c>
      <c r="O69" s="5" t="str">
        <f t="shared" ref="O69:O115" si="18">IF(ISNUMBER(SEARCH("MAY", C69)), "MAY", IF(ISNUMBER(SEARCH("SHOULD", C69)), "SHOULD", IF(ISNUMBER(SEARCH("SHALL", C69)), "SHALL", IF(ISNUMBER(SEARCH("SHOULD NOT", C69)), "SHOULD NOT", IF(ISNUMBER(SEARCH("SHALL NOT", C69)), "SHALL NOT", "")))))</f>
        <v>SHALL</v>
      </c>
      <c r="P69" s="5" t="str">
        <f t="shared" ref="P69:P115" si="19">IF(ISNUMBER(SEARCH("server", C69)), "Server", IF(ISNUMBER(SEARCH("Server", C69)), "Server", IF(ISNUMBER(SEARCH("client", C69)), "Client", IF(ISNUMBER(SEARCH("Client", C69)), "Client", IF(ISNUMBER(SEARCH("US Core Responder", C69)), "Server", IF(ISNUMBER(SEARCH("US Core Requestor", C69)), "Client", ""))))))</f>
        <v>Server</v>
      </c>
      <c r="R69" s="5" t="s">
        <v>440</v>
      </c>
    </row>
    <row r="70" spans="1:18" ht="68" x14ac:dyDescent="0.2">
      <c r="A70" s="2">
        <v>69</v>
      </c>
      <c r="B70" s="30" t="s">
        <v>114</v>
      </c>
      <c r="C70" s="36" t="s">
        <v>118</v>
      </c>
      <c r="D70" s="2" t="s">
        <v>39</v>
      </c>
      <c r="E70" s="2" t="s">
        <v>54</v>
      </c>
      <c r="M70" s="31" t="str" cm="1">
        <f t="array" ref="M70">PAGE_NAME(B70)</f>
        <v>registration</v>
      </c>
      <c r="N70" s="31" t="str" cm="1">
        <f t="array" ref="N70">SECTION_NAME(B70)</f>
        <v>registration</v>
      </c>
      <c r="O70" s="5" t="str">
        <f t="shared" si="18"/>
        <v>MAY</v>
      </c>
      <c r="P70" s="5" t="str">
        <f t="shared" si="19"/>
        <v>Client</v>
      </c>
      <c r="R70" s="5" t="s">
        <v>440</v>
      </c>
    </row>
    <row r="71" spans="1:18" ht="51" x14ac:dyDescent="0.2">
      <c r="A71" s="2">
        <v>70</v>
      </c>
      <c r="B71" s="30" t="s">
        <v>114</v>
      </c>
      <c r="C71" s="36" t="s">
        <v>119</v>
      </c>
      <c r="D71" s="2" t="s">
        <v>37</v>
      </c>
      <c r="E71" s="2" t="s">
        <v>54</v>
      </c>
      <c r="M71" s="31" t="str" cm="1">
        <f t="array" ref="M71">PAGE_NAME(B71)</f>
        <v>registration</v>
      </c>
      <c r="N71" s="31" t="str" cm="1">
        <f t="array" ref="N71">SECTION_NAME(B71)</f>
        <v>registration</v>
      </c>
      <c r="O71" s="5" t="str">
        <f t="shared" si="18"/>
        <v>SHOULD</v>
      </c>
      <c r="P71" s="5" t="str">
        <f t="shared" si="19"/>
        <v>Server</v>
      </c>
      <c r="R71" s="5" t="s">
        <v>440</v>
      </c>
    </row>
    <row r="72" spans="1:18" ht="85" x14ac:dyDescent="0.2">
      <c r="A72" s="2">
        <v>71</v>
      </c>
      <c r="B72" s="30" t="s">
        <v>114</v>
      </c>
      <c r="C72" s="36" t="s">
        <v>120</v>
      </c>
      <c r="D72" s="2" t="s">
        <v>30</v>
      </c>
      <c r="E72" s="2" t="s">
        <v>54</v>
      </c>
      <c r="O72" s="5" t="str">
        <f>IF(ISNUMBER(SEARCH("MAY", C72)), "MAY", IF(ISNUMBER(SEARCH("SHOULD", C72)), "SHOULD", IF(ISNUMBER(SEARCH("SHALL", C72)), "SHALL", IF(ISNUMBER(SEARCH("SHOULD NOT", C72)), "SHOULD NOT", IF(ISNUMBER(SEARCH("SHALL NOT", C72)), "SHALL NOT", "")))))</f>
        <v>SHALL</v>
      </c>
      <c r="P72" s="5" t="str">
        <f>IF(ISNUMBER(SEARCH("server", C72)), "Server", IF(ISNUMBER(SEARCH("Server", C72)), "Server", IF(ISNUMBER(SEARCH("client", C72)), "Client", IF(ISNUMBER(SEARCH("Client", C72)), "Client", IF(ISNUMBER(SEARCH("US Core Responder", C72)), "Server", IF(ISNUMBER(SEARCH("US Core Requestor", C72)), "Client", ""))))))</f>
        <v>Client</v>
      </c>
      <c r="R72" s="5" t="s">
        <v>440</v>
      </c>
    </row>
    <row r="73" spans="1:18" ht="102" x14ac:dyDescent="0.2">
      <c r="A73" s="2">
        <v>72</v>
      </c>
      <c r="B73" s="30" t="s">
        <v>121</v>
      </c>
      <c r="C73" s="36" t="s">
        <v>122</v>
      </c>
      <c r="D73" s="2" t="s">
        <v>30</v>
      </c>
      <c r="E73" s="2" t="s">
        <v>54</v>
      </c>
      <c r="F73" s="2" t="s">
        <v>123</v>
      </c>
      <c r="M73" s="31" t="str" cm="1">
        <f t="array" ref="M73">PAGE_NAME(B73)</f>
        <v>registration</v>
      </c>
      <c r="N73" s="31" t="str" cm="1">
        <f t="array" ref="N73">SECTION_NAME(B73)</f>
        <v>software-statement</v>
      </c>
      <c r="O73" s="5" t="str">
        <f t="shared" si="18"/>
        <v>SHALL</v>
      </c>
      <c r="P73" s="5" t="str">
        <f t="shared" si="19"/>
        <v/>
      </c>
      <c r="R73" s="5" t="s">
        <v>440</v>
      </c>
    </row>
    <row r="74" spans="1:18" ht="132" customHeight="1" x14ac:dyDescent="0.2">
      <c r="A74" s="2">
        <v>73</v>
      </c>
      <c r="B74" s="30" t="s">
        <v>121</v>
      </c>
      <c r="C74" s="36" t="s">
        <v>124</v>
      </c>
      <c r="D74" s="2" t="s">
        <v>30</v>
      </c>
      <c r="E74" s="2" t="s">
        <v>54</v>
      </c>
      <c r="M74" s="31" t="str" cm="1">
        <f t="array" ref="M74">PAGE_NAME(B74)</f>
        <v>registration</v>
      </c>
      <c r="N74" s="31" t="str" cm="1">
        <f t="array" ref="N74">SECTION_NAME(B74)</f>
        <v>software-statement</v>
      </c>
      <c r="O74" s="5" t="str">
        <f t="shared" si="18"/>
        <v>SHALL</v>
      </c>
      <c r="P74" s="5" t="str">
        <f t="shared" si="19"/>
        <v>Client</v>
      </c>
      <c r="R74" s="5" t="s">
        <v>440</v>
      </c>
    </row>
    <row r="75" spans="1:18" ht="132" customHeight="1" x14ac:dyDescent="0.2">
      <c r="A75" s="2">
        <v>74</v>
      </c>
      <c r="B75" s="30" t="s">
        <v>121</v>
      </c>
      <c r="C75" s="36" t="s">
        <v>125</v>
      </c>
      <c r="D75" s="2" t="s">
        <v>30</v>
      </c>
      <c r="E75" s="2" t="s">
        <v>54</v>
      </c>
      <c r="M75" s="31" t="str" cm="1">
        <f t="array" ref="M75">PAGE_NAME(B75)</f>
        <v>registration</v>
      </c>
      <c r="N75" s="31" t="str" cm="1">
        <f t="array" ref="N75">SECTION_NAME(B75)</f>
        <v>software-statement</v>
      </c>
      <c r="O75" s="5" t="str">
        <f>IF(ISNUMBER(SEARCH("MAY", C75)), "MAY", IF(ISNUMBER(SEARCH("SHOULD", C75)), "SHOULD", IF(ISNUMBER(SEARCH("SHALL", C75)), "SHALL", IF(ISNUMBER(SEARCH("SHOULD NOT", C75)), "SHOULD NOT", IF(ISNUMBER(SEARCH("SHALL NOT", C75)), "SHALL NOT", "")))))</f>
        <v>SHALL</v>
      </c>
      <c r="P75" s="5" t="str">
        <f>IF(ISNUMBER(SEARCH("server", C75)), "Server", IF(ISNUMBER(SEARCH("Server", C75)), "Server", IF(ISNUMBER(SEARCH("client", C75)), "Client", IF(ISNUMBER(SEARCH("Client", C75)), "Client", IF(ISNUMBER(SEARCH("US Core Responder", C75)), "Server", IF(ISNUMBER(SEARCH("US Core Requestor", C75)), "Client", ""))))))</f>
        <v>Client</v>
      </c>
      <c r="R75" s="5" t="s">
        <v>440</v>
      </c>
    </row>
    <row r="76" spans="1:18" ht="132" customHeight="1" x14ac:dyDescent="0.2">
      <c r="A76" s="2">
        <v>75</v>
      </c>
      <c r="B76" s="30" t="s">
        <v>121</v>
      </c>
      <c r="C76" s="36" t="s">
        <v>126</v>
      </c>
      <c r="D76" s="2" t="s">
        <v>30</v>
      </c>
      <c r="E76" s="2" t="s">
        <v>54</v>
      </c>
      <c r="M76" s="31" t="str" cm="1">
        <f t="array" ref="M76">PAGE_NAME(B76)</f>
        <v>registration</v>
      </c>
      <c r="N76" s="31" t="str" cm="1">
        <f t="array" ref="N76">SECTION_NAME(B76)</f>
        <v>software-statement</v>
      </c>
      <c r="O76" s="5" t="str">
        <f t="shared" si="18"/>
        <v>SHALL</v>
      </c>
      <c r="P76" s="5" t="str">
        <f t="shared" si="19"/>
        <v>Client</v>
      </c>
      <c r="R76" s="5" t="s">
        <v>440</v>
      </c>
    </row>
    <row r="77" spans="1:18" ht="132" customHeight="1" x14ac:dyDescent="0.2">
      <c r="A77" s="2">
        <v>76</v>
      </c>
      <c r="B77" s="30" t="s">
        <v>121</v>
      </c>
      <c r="C77" s="36" t="s">
        <v>127</v>
      </c>
      <c r="D77" s="2" t="s">
        <v>30</v>
      </c>
      <c r="E77" s="2" t="s">
        <v>54</v>
      </c>
      <c r="M77" s="31" t="str" cm="1">
        <f t="array" ref="M77">PAGE_NAME(B77)</f>
        <v>registration</v>
      </c>
      <c r="N77" s="31" t="str" cm="1">
        <f t="array" ref="N77">SECTION_NAME(B77)</f>
        <v>software-statement</v>
      </c>
      <c r="O77" s="5" t="str">
        <f t="shared" si="18"/>
        <v/>
      </c>
      <c r="P77" s="5" t="str">
        <f t="shared" si="19"/>
        <v/>
      </c>
      <c r="R77" s="5" t="s">
        <v>440</v>
      </c>
    </row>
    <row r="78" spans="1:18" ht="132" customHeight="1" x14ac:dyDescent="0.2">
      <c r="A78" s="2">
        <v>77</v>
      </c>
      <c r="B78" s="30" t="s">
        <v>121</v>
      </c>
      <c r="C78" s="36" t="s">
        <v>128</v>
      </c>
      <c r="D78" s="2" t="s">
        <v>30</v>
      </c>
      <c r="E78" s="2" t="s">
        <v>54</v>
      </c>
      <c r="M78" s="31" t="str" cm="1">
        <f t="array" ref="M78">PAGE_NAME(B78)</f>
        <v>registration</v>
      </c>
      <c r="N78" s="31" t="str" cm="1">
        <f t="array" ref="N78">SECTION_NAME(B78)</f>
        <v>software-statement</v>
      </c>
      <c r="O78" s="5" t="str">
        <f t="shared" si="18"/>
        <v/>
      </c>
      <c r="P78" s="5" t="str">
        <f t="shared" si="19"/>
        <v>Server</v>
      </c>
      <c r="R78" s="5" t="s">
        <v>440</v>
      </c>
    </row>
    <row r="79" spans="1:18" ht="132" customHeight="1" x14ac:dyDescent="0.2">
      <c r="A79" s="2">
        <v>78</v>
      </c>
      <c r="B79" s="30" t="s">
        <v>121</v>
      </c>
      <c r="C79" s="36" t="s">
        <v>129</v>
      </c>
      <c r="D79" s="2" t="s">
        <v>30</v>
      </c>
      <c r="E79" s="2" t="s">
        <v>54</v>
      </c>
      <c r="M79" s="31" t="str" cm="1">
        <f t="array" ref="M79">PAGE_NAME(B79)</f>
        <v>registration</v>
      </c>
      <c r="N79" s="31" t="str" cm="1">
        <f t="array" ref="N79">SECTION_NAME(B79)</f>
        <v>software-statement</v>
      </c>
      <c r="O79" s="5" t="str">
        <f t="shared" si="18"/>
        <v>SHALL</v>
      </c>
      <c r="P79" s="5" t="str">
        <f t="shared" si="19"/>
        <v/>
      </c>
      <c r="R79" s="5" t="s">
        <v>440</v>
      </c>
    </row>
    <row r="80" spans="1:18" ht="132" customHeight="1" x14ac:dyDescent="0.2">
      <c r="A80" s="2">
        <v>79</v>
      </c>
      <c r="B80" s="30" t="s">
        <v>121</v>
      </c>
      <c r="C80" s="36" t="s">
        <v>130</v>
      </c>
      <c r="D80" s="2" t="s">
        <v>30</v>
      </c>
      <c r="E80" s="2" t="s">
        <v>54</v>
      </c>
      <c r="M80" s="31" t="str" cm="1">
        <f t="array" ref="M80">PAGE_NAME(B80)</f>
        <v>registration</v>
      </c>
      <c r="N80" s="31" t="str" cm="1">
        <f t="array" ref="N80">SECTION_NAME(B80)</f>
        <v>software-statement</v>
      </c>
      <c r="O80" s="5" t="str">
        <f>IF(ISNUMBER(SEARCH("MAY", C80)), "MAY", IF(ISNUMBER(SEARCH("SHOULD", C80)), "SHOULD", IF(ISNUMBER(SEARCH("SHALL", C80)), "SHALL", IF(ISNUMBER(SEARCH("SHOULD NOT", C80)), "SHOULD NOT", IF(ISNUMBER(SEARCH("SHALL NOT", C80)), "SHALL NOT", "")))))</f>
        <v>SHALL</v>
      </c>
      <c r="P80" s="5" t="str">
        <f>IF(ISNUMBER(SEARCH("server", C80)), "Server", IF(ISNUMBER(SEARCH("Server", C80)), "Server", IF(ISNUMBER(SEARCH("client", C80)), "Client", IF(ISNUMBER(SEARCH("Client", C80)), "Client", IF(ISNUMBER(SEARCH("US Core Responder", C80)), "Server", IF(ISNUMBER(SEARCH("US Core Requestor", C80)), "Client", ""))))))</f>
        <v/>
      </c>
      <c r="R80" s="5" t="s">
        <v>440</v>
      </c>
    </row>
    <row r="81" spans="1:18" ht="132" customHeight="1" x14ac:dyDescent="0.2">
      <c r="A81" s="2">
        <v>80</v>
      </c>
      <c r="B81" s="30" t="s">
        <v>121</v>
      </c>
      <c r="C81" s="36" t="s">
        <v>131</v>
      </c>
      <c r="D81" s="2" t="s">
        <v>30</v>
      </c>
      <c r="E81" s="2" t="s">
        <v>54</v>
      </c>
      <c r="M81" s="31" t="str" cm="1">
        <f t="array" ref="M81">PAGE_NAME(B81)</f>
        <v>registration</v>
      </c>
      <c r="N81" s="31" t="str" cm="1">
        <f t="array" ref="N81">SECTION_NAME(B81)</f>
        <v>software-statement</v>
      </c>
      <c r="O81" s="5" t="str">
        <f t="shared" si="18"/>
        <v/>
      </c>
      <c r="P81" s="5" t="str">
        <f t="shared" si="19"/>
        <v/>
      </c>
      <c r="R81" s="5" t="s">
        <v>440</v>
      </c>
    </row>
    <row r="82" spans="1:18" ht="132" customHeight="1" x14ac:dyDescent="0.2">
      <c r="A82" s="2">
        <v>81</v>
      </c>
      <c r="B82" s="30" t="s">
        <v>121</v>
      </c>
      <c r="C82" s="36" t="s">
        <v>132</v>
      </c>
      <c r="D82" s="2" t="s">
        <v>30</v>
      </c>
      <c r="E82" s="2" t="s">
        <v>54</v>
      </c>
      <c r="M82" s="31" t="str" cm="1">
        <f t="array" ref="M82">PAGE_NAME(B82)</f>
        <v>registration</v>
      </c>
      <c r="N82" s="31" t="str" cm="1">
        <f t="array" ref="N82">SECTION_NAME(B82)</f>
        <v>software-statement</v>
      </c>
      <c r="O82" s="5" t="str">
        <f t="shared" si="18"/>
        <v/>
      </c>
      <c r="P82" s="5" t="str">
        <f t="shared" si="19"/>
        <v/>
      </c>
      <c r="R82" s="5" t="s">
        <v>440</v>
      </c>
    </row>
    <row r="83" spans="1:18" ht="132" customHeight="1" x14ac:dyDescent="0.2">
      <c r="A83" s="2">
        <v>82</v>
      </c>
      <c r="B83" s="30" t="s">
        <v>121</v>
      </c>
      <c r="C83" s="36" t="s">
        <v>133</v>
      </c>
      <c r="D83" s="2" t="s">
        <v>30</v>
      </c>
      <c r="E83" s="2" t="s">
        <v>54</v>
      </c>
      <c r="M83" s="31" t="str" cm="1">
        <f t="array" ref="M83">PAGE_NAME(B83)</f>
        <v>registration</v>
      </c>
      <c r="N83" s="31" t="str" cm="1">
        <f t="array" ref="N83">SECTION_NAME(B83)</f>
        <v>software-statement</v>
      </c>
      <c r="O83" s="5" t="str">
        <f>IF(ISNUMBER(SEARCH("MAY", C83)), "MAY", IF(ISNUMBER(SEARCH("SHOULD", C83)), "SHOULD", IF(ISNUMBER(SEARCH("SHALL", C83)), "SHALL", IF(ISNUMBER(SEARCH("SHOULD NOT", C83)), "SHOULD NOT", IF(ISNUMBER(SEARCH("SHALL NOT", C83)), "SHALL NOT", "")))))</f>
        <v>SHALL</v>
      </c>
      <c r="P83" s="5" t="str">
        <f>IF(ISNUMBER(SEARCH("server", C83)), "Server", IF(ISNUMBER(SEARCH("Server", C83)), "Server", IF(ISNUMBER(SEARCH("client", C83)), "Client", IF(ISNUMBER(SEARCH("Client", C83)), "Client", IF(ISNUMBER(SEARCH("US Core Responder", C83)), "Server", IF(ISNUMBER(SEARCH("US Core Requestor", C83)), "Client", ""))))))</f>
        <v>Client</v>
      </c>
      <c r="R83" s="5" t="s">
        <v>440</v>
      </c>
    </row>
    <row r="84" spans="1:18" ht="132" customHeight="1" x14ac:dyDescent="0.2">
      <c r="A84" s="2">
        <v>83</v>
      </c>
      <c r="B84" s="30" t="s">
        <v>121</v>
      </c>
      <c r="C84" s="36" t="s">
        <v>134</v>
      </c>
      <c r="D84" s="2" t="s">
        <v>30</v>
      </c>
      <c r="E84" s="2" t="s">
        <v>54</v>
      </c>
      <c r="M84" s="31" t="str" cm="1">
        <f t="array" ref="M84">PAGE_NAME(B84)</f>
        <v>registration</v>
      </c>
      <c r="N84" s="31" t="str" cm="1">
        <f t="array" ref="N84">SECTION_NAME(B84)</f>
        <v>software-statement</v>
      </c>
      <c r="O84" s="5" t="str">
        <f t="shared" si="18"/>
        <v/>
      </c>
      <c r="P84" s="5" t="str">
        <f t="shared" si="19"/>
        <v>Client</v>
      </c>
      <c r="R84" s="5" t="s">
        <v>440</v>
      </c>
    </row>
    <row r="85" spans="1:18" ht="132" customHeight="1" x14ac:dyDescent="0.2">
      <c r="A85" s="2">
        <v>84</v>
      </c>
      <c r="B85" s="30" t="s">
        <v>121</v>
      </c>
      <c r="C85" s="36" t="s">
        <v>135</v>
      </c>
      <c r="D85" s="2" t="s">
        <v>30</v>
      </c>
      <c r="E85" s="2" t="s">
        <v>54</v>
      </c>
      <c r="M85" s="31" t="str" cm="1">
        <f t="array" ref="M85">PAGE_NAME(B85)</f>
        <v>registration</v>
      </c>
      <c r="N85" s="31" t="str" cm="1">
        <f t="array" ref="N85">SECTION_NAME(B85)</f>
        <v>software-statement</v>
      </c>
      <c r="O85" s="5" t="str">
        <f t="shared" si="18"/>
        <v>SHALL</v>
      </c>
      <c r="P85" s="5" t="str">
        <f t="shared" si="19"/>
        <v/>
      </c>
      <c r="R85" s="5" t="s">
        <v>440</v>
      </c>
    </row>
    <row r="86" spans="1:18" ht="132" customHeight="1" x14ac:dyDescent="0.2">
      <c r="A86" s="2">
        <v>85</v>
      </c>
      <c r="B86" s="30" t="s">
        <v>121</v>
      </c>
      <c r="C86" s="36" t="s">
        <v>136</v>
      </c>
      <c r="D86" s="2" t="s">
        <v>30</v>
      </c>
      <c r="E86" s="2" t="s">
        <v>54</v>
      </c>
      <c r="M86" s="31" t="str" cm="1">
        <f t="array" ref="M86">PAGE_NAME(B86)</f>
        <v>registration</v>
      </c>
      <c r="N86" s="31" t="str" cm="1">
        <f t="array" ref="N86">SECTION_NAME(B86)</f>
        <v>software-statement</v>
      </c>
      <c r="O86" s="5" t="str">
        <f t="shared" si="18"/>
        <v>SHALL</v>
      </c>
      <c r="P86" s="5" t="str">
        <f t="shared" si="19"/>
        <v/>
      </c>
      <c r="R86" s="5" t="s">
        <v>440</v>
      </c>
    </row>
    <row r="87" spans="1:18" ht="132" customHeight="1" x14ac:dyDescent="0.2">
      <c r="A87" s="2">
        <v>86</v>
      </c>
      <c r="B87" s="30" t="s">
        <v>121</v>
      </c>
      <c r="C87" s="36" t="s">
        <v>137</v>
      </c>
      <c r="D87" s="2" t="s">
        <v>30</v>
      </c>
      <c r="E87" s="2" t="s">
        <v>54</v>
      </c>
      <c r="M87" s="31" t="str" cm="1">
        <f t="array" ref="M87">PAGE_NAME(B87)</f>
        <v>registration</v>
      </c>
      <c r="N87" s="31" t="str" cm="1">
        <f t="array" ref="N87">SECTION_NAME(B87)</f>
        <v>software-statement</v>
      </c>
      <c r="O87" s="5" t="str">
        <f t="shared" si="18"/>
        <v/>
      </c>
      <c r="P87" s="5" t="str">
        <f t="shared" si="19"/>
        <v/>
      </c>
      <c r="R87" s="5" t="s">
        <v>440</v>
      </c>
    </row>
    <row r="88" spans="1:18" ht="132" customHeight="1" x14ac:dyDescent="0.2">
      <c r="A88" s="2">
        <v>87</v>
      </c>
      <c r="B88" s="30" t="s">
        <v>121</v>
      </c>
      <c r="C88" s="36" t="s">
        <v>138</v>
      </c>
      <c r="D88" s="2" t="s">
        <v>30</v>
      </c>
      <c r="E88" s="2" t="s">
        <v>54</v>
      </c>
      <c r="M88" s="31" t="str" cm="1">
        <f t="array" ref="M88">PAGE_NAME(B88)</f>
        <v>registration</v>
      </c>
      <c r="N88" s="31" t="str" cm="1">
        <f t="array" ref="N88">SECTION_NAME(B88)</f>
        <v>software-statement</v>
      </c>
      <c r="O88" s="5" t="str">
        <f>IF(ISNUMBER(SEARCH("MAY", C88)), "MAY", IF(ISNUMBER(SEARCH("SHOULD", C88)), "SHOULD", IF(ISNUMBER(SEARCH("SHALL", C88)), "SHALL", IF(ISNUMBER(SEARCH("SHOULD NOT", C88)), "SHOULD NOT", IF(ISNUMBER(SEARCH("SHALL NOT", C88)), "SHALL NOT", "")))))</f>
        <v>SHALL</v>
      </c>
      <c r="P88" s="5" t="str">
        <f>IF(ISNUMBER(SEARCH("server", C88)), "Server", IF(ISNUMBER(SEARCH("Server", C88)), "Server", IF(ISNUMBER(SEARCH("client", C88)), "Client", IF(ISNUMBER(SEARCH("Client", C88)), "Client", IF(ISNUMBER(SEARCH("US Core Responder", C88)), "Server", IF(ISNUMBER(SEARCH("US Core Requestor", C88)), "Client", ""))))))</f>
        <v/>
      </c>
      <c r="R88" s="5" t="s">
        <v>440</v>
      </c>
    </row>
    <row r="89" spans="1:18" ht="85" x14ac:dyDescent="0.2">
      <c r="A89" s="2">
        <v>88</v>
      </c>
      <c r="B89" s="30" t="s">
        <v>121</v>
      </c>
      <c r="C89" s="36" t="s">
        <v>139</v>
      </c>
      <c r="D89" s="2" t="s">
        <v>30</v>
      </c>
      <c r="E89" s="2" t="s">
        <v>54</v>
      </c>
      <c r="M89" s="31" t="str" cm="1">
        <f t="array" ref="M89">PAGE_NAME(B89)</f>
        <v>registration</v>
      </c>
      <c r="N89" s="31" t="str" cm="1">
        <f t="array" ref="N89">SECTION_NAME(B89)</f>
        <v>software-statement</v>
      </c>
      <c r="O89" s="5" t="str">
        <f t="shared" si="18"/>
        <v>SHALL</v>
      </c>
      <c r="P89" s="5" t="str">
        <f t="shared" si="19"/>
        <v>Client</v>
      </c>
      <c r="R89" s="5" t="s">
        <v>440</v>
      </c>
    </row>
    <row r="90" spans="1:18" ht="68" x14ac:dyDescent="0.2">
      <c r="A90" s="2">
        <v>89</v>
      </c>
      <c r="B90" s="30" t="s">
        <v>121</v>
      </c>
      <c r="C90" s="36" t="s">
        <v>140</v>
      </c>
      <c r="D90" s="2" t="s">
        <v>39</v>
      </c>
      <c r="E90" s="2" t="s">
        <v>45</v>
      </c>
      <c r="M90" s="31" t="str" cm="1">
        <f t="array" ref="M90">PAGE_NAME(B90)</f>
        <v>registration</v>
      </c>
      <c r="N90" s="31" t="str" cm="1">
        <f t="array" ref="N90">SECTION_NAME(B90)</f>
        <v>software-statement</v>
      </c>
      <c r="O90" s="5" t="str">
        <f>IF(ISNUMBER(SEARCH("MAY", C90)), "MAY", IF(ISNUMBER(SEARCH("SHOULD", C90)), "SHOULD", IF(ISNUMBER(SEARCH("SHALL", C90)), "SHALL", IF(ISNUMBER(SEARCH("SHOULD NOT", C90)), "SHOULD NOT", IF(ISNUMBER(SEARCH("SHALL NOT", C90)), "SHALL NOT", "")))))</f>
        <v>MAY</v>
      </c>
      <c r="P90" s="5" t="str">
        <f>IF(ISNUMBER(SEARCH("server", C90)), "Server", IF(ISNUMBER(SEARCH("Server", C90)), "Server", IF(ISNUMBER(SEARCH("client", C90)), "Client", IF(ISNUMBER(SEARCH("Client", C90)), "Client", IF(ISNUMBER(SEARCH("US Core Responder", C90)), "Server", IF(ISNUMBER(SEARCH("US Core Requestor", C90)), "Client", ""))))))</f>
        <v>Server</v>
      </c>
      <c r="R90" s="5" t="s">
        <v>440</v>
      </c>
    </row>
    <row r="91" spans="1:18" ht="68" x14ac:dyDescent="0.2">
      <c r="A91" s="2">
        <v>90</v>
      </c>
      <c r="B91" s="30" t="s">
        <v>121</v>
      </c>
      <c r="C91" s="36" t="s">
        <v>141</v>
      </c>
      <c r="D91" s="2" t="s">
        <v>30</v>
      </c>
      <c r="E91" s="2" t="s">
        <v>54</v>
      </c>
      <c r="M91" s="31" t="str" cm="1">
        <f t="array" ref="M91">PAGE_NAME(B91)</f>
        <v>registration</v>
      </c>
      <c r="N91" s="31" t="str" cm="1">
        <f t="array" ref="N91">SECTION_NAME(B91)</f>
        <v>software-statement</v>
      </c>
      <c r="O91" s="5" t="str">
        <f>IF(ISNUMBER(SEARCH("MAY", C91)), "MAY", IF(ISNUMBER(SEARCH("SHOULD", C91)), "SHOULD", IF(ISNUMBER(SEARCH("SHALL", C91)), "SHALL", IF(ISNUMBER(SEARCH("SHOULD NOT", C91)), "SHOULD NOT", IF(ISNUMBER(SEARCH("SHALL NOT", C91)), "SHALL NOT", "")))))</f>
        <v>SHALL</v>
      </c>
      <c r="P91" s="5" t="str">
        <f>IF(ISNUMBER(SEARCH("server", C91)), "Server", IF(ISNUMBER(SEARCH("Server", C91)), "Server", IF(ISNUMBER(SEARCH("client", C91)), "Client", IF(ISNUMBER(SEARCH("Client", C91)), "Client", IF(ISNUMBER(SEARCH("US Core Responder", C91)), "Server", IF(ISNUMBER(SEARCH("US Core Requestor", C91)), "Client", ""))))))</f>
        <v/>
      </c>
      <c r="R91" s="5" t="s">
        <v>440</v>
      </c>
    </row>
    <row r="92" spans="1:18" ht="85" x14ac:dyDescent="0.2">
      <c r="A92" s="2">
        <v>91</v>
      </c>
      <c r="B92" s="30" t="s">
        <v>121</v>
      </c>
      <c r="C92" s="36" t="s">
        <v>142</v>
      </c>
      <c r="D92" s="2" t="s">
        <v>30</v>
      </c>
      <c r="E92" s="2" t="s">
        <v>54</v>
      </c>
      <c r="M92" s="31" t="str" cm="1">
        <f t="array" ref="M92">PAGE_NAME(B92)</f>
        <v>registration</v>
      </c>
      <c r="N92" s="31" t="str" cm="1">
        <f t="array" ref="N92">SECTION_NAME(B92)</f>
        <v>software-statement</v>
      </c>
      <c r="O92" s="5" t="str">
        <f>IF(ISNUMBER(SEARCH("MAY", C92)), "MAY", IF(ISNUMBER(SEARCH("SHOULD", C92)), "SHOULD", IF(ISNUMBER(SEARCH("SHALL", C92)), "SHALL", IF(ISNUMBER(SEARCH("SHOULD NOT", C92)), "SHOULD NOT", IF(ISNUMBER(SEARCH("SHALL NOT", C92)), "SHALL NOT", "")))))</f>
        <v>SHALL</v>
      </c>
      <c r="P92" s="5" t="str">
        <f>IF(ISNUMBER(SEARCH("server", C92)), "Server", IF(ISNUMBER(SEARCH("Server", C92)), "Server", IF(ISNUMBER(SEARCH("client", C92)), "Client", IF(ISNUMBER(SEARCH("Client", C92)), "Client", IF(ISNUMBER(SEARCH("US Core Responder", C92)), "Server", IF(ISNUMBER(SEARCH("US Core Requestor", C92)), "Client", ""))))))</f>
        <v/>
      </c>
      <c r="R92" s="5" t="s">
        <v>440</v>
      </c>
    </row>
    <row r="93" spans="1:18" ht="136" x14ac:dyDescent="0.2">
      <c r="A93" s="2">
        <v>92</v>
      </c>
      <c r="B93" s="30" t="s">
        <v>121</v>
      </c>
      <c r="C93" s="36" t="s">
        <v>143</v>
      </c>
      <c r="D93" s="2" t="s">
        <v>30</v>
      </c>
      <c r="E93" s="2" t="s">
        <v>54</v>
      </c>
      <c r="M93" s="31" t="str" cm="1">
        <f t="array" ref="M93">PAGE_NAME(B93)</f>
        <v>registration</v>
      </c>
      <c r="N93" s="31" t="str" cm="1">
        <f t="array" ref="N93">SECTION_NAME(B93)</f>
        <v>software-statement</v>
      </c>
      <c r="O93" s="5" t="str">
        <f t="shared" si="18"/>
        <v>SHALL</v>
      </c>
      <c r="P93" s="5" t="str">
        <f t="shared" si="19"/>
        <v>Client</v>
      </c>
      <c r="R93" s="5" t="s">
        <v>440</v>
      </c>
    </row>
    <row r="94" spans="1:18" ht="68" x14ac:dyDescent="0.2">
      <c r="A94" s="2">
        <v>93</v>
      </c>
      <c r="B94" s="30" t="s">
        <v>121</v>
      </c>
      <c r="C94" s="36" t="s">
        <v>144</v>
      </c>
      <c r="D94" s="2" t="s">
        <v>30</v>
      </c>
      <c r="E94" s="2" t="s">
        <v>54</v>
      </c>
      <c r="M94" s="31" t="str" cm="1">
        <f t="array" ref="M94">PAGE_NAME(B94)</f>
        <v>registration</v>
      </c>
      <c r="N94" s="31" t="str" cm="1">
        <f t="array" ref="N94">SECTION_NAME(B94)</f>
        <v>software-statement</v>
      </c>
      <c r="O94" s="5" t="str">
        <f t="shared" si="18"/>
        <v>SHALL</v>
      </c>
      <c r="P94" s="5" t="str">
        <f t="shared" si="19"/>
        <v/>
      </c>
      <c r="R94" s="5" t="s">
        <v>440</v>
      </c>
    </row>
    <row r="95" spans="1:18" ht="68" x14ac:dyDescent="0.2">
      <c r="A95" s="2">
        <v>94</v>
      </c>
      <c r="B95" s="30" t="s">
        <v>121</v>
      </c>
      <c r="C95" s="36" t="s">
        <v>145</v>
      </c>
      <c r="D95" s="2" t="s">
        <v>30</v>
      </c>
      <c r="E95" s="2" t="s">
        <v>54</v>
      </c>
      <c r="M95" s="31" t="str" cm="1">
        <f t="array" ref="M95">PAGE_NAME(B95)</f>
        <v>registration</v>
      </c>
      <c r="N95" s="31" t="str" cm="1">
        <f t="array" ref="N95">SECTION_NAME(B95)</f>
        <v>software-statement</v>
      </c>
      <c r="O95" s="5" t="str">
        <f>IF(ISNUMBER(SEARCH("MAY", C95)), "MAY", IF(ISNUMBER(SEARCH("SHOULD", C95)), "SHOULD", IF(ISNUMBER(SEARCH("SHALL", C95)), "SHALL", IF(ISNUMBER(SEARCH("SHOULD NOT", C95)), "SHOULD NOT", IF(ISNUMBER(SEARCH("SHALL NOT", C95)), "SHALL NOT", "")))))</f>
        <v>SHALL</v>
      </c>
      <c r="P95" s="5" t="str">
        <f>IF(ISNUMBER(SEARCH("server", C95)), "Server", IF(ISNUMBER(SEARCH("Server", C95)), "Server", IF(ISNUMBER(SEARCH("client", C95)), "Client", IF(ISNUMBER(SEARCH("Client", C95)), "Client", IF(ISNUMBER(SEARCH("US Core Responder", C95)), "Server", IF(ISNUMBER(SEARCH("US Core Requestor", C95)), "Client", ""))))))</f>
        <v/>
      </c>
      <c r="R95" s="5" t="s">
        <v>440</v>
      </c>
    </row>
    <row r="96" spans="1:18" ht="85" x14ac:dyDescent="0.2">
      <c r="A96" s="2">
        <v>95</v>
      </c>
      <c r="B96" s="30" t="s">
        <v>121</v>
      </c>
      <c r="C96" s="36" t="s">
        <v>146</v>
      </c>
      <c r="D96" s="2" t="s">
        <v>30</v>
      </c>
      <c r="E96" s="2" t="s">
        <v>54</v>
      </c>
      <c r="M96" s="31" t="str" cm="1">
        <f t="array" ref="M96">PAGE_NAME(B96)</f>
        <v>registration</v>
      </c>
      <c r="N96" s="31" t="str" cm="1">
        <f t="array" ref="N96">SECTION_NAME(B96)</f>
        <v>software-statement</v>
      </c>
      <c r="O96" s="5" t="str">
        <f t="shared" si="18"/>
        <v>SHALL</v>
      </c>
      <c r="P96" s="5" t="str">
        <f t="shared" si="19"/>
        <v/>
      </c>
      <c r="R96" s="5" t="s">
        <v>440</v>
      </c>
    </row>
    <row r="97" spans="1:18" ht="85" x14ac:dyDescent="0.2">
      <c r="A97" s="2">
        <v>96</v>
      </c>
      <c r="B97" s="30" t="s">
        <v>121</v>
      </c>
      <c r="C97" s="36" t="s">
        <v>147</v>
      </c>
      <c r="D97" s="2" t="s">
        <v>30</v>
      </c>
      <c r="E97" s="2" t="s">
        <v>54</v>
      </c>
      <c r="M97" s="31" t="str" cm="1">
        <f t="array" ref="M97">PAGE_NAME(B97)</f>
        <v>registration</v>
      </c>
      <c r="N97" s="31" t="str" cm="1">
        <f t="array" ref="N97">SECTION_NAME(B97)</f>
        <v>software-statement</v>
      </c>
      <c r="O97" s="5" t="str">
        <f t="shared" si="18"/>
        <v>SHALL</v>
      </c>
      <c r="P97" s="5" t="str">
        <f t="shared" si="19"/>
        <v/>
      </c>
      <c r="R97" s="5" t="s">
        <v>440</v>
      </c>
    </row>
    <row r="98" spans="1:18" ht="85" x14ac:dyDescent="0.2">
      <c r="A98" s="2">
        <v>97</v>
      </c>
      <c r="B98" s="30" t="s">
        <v>121</v>
      </c>
      <c r="C98" s="36" t="s">
        <v>148</v>
      </c>
      <c r="D98" s="2" t="s">
        <v>30</v>
      </c>
      <c r="E98" s="2" t="s">
        <v>54</v>
      </c>
      <c r="M98" s="31" t="str" cm="1">
        <f t="array" ref="M98">PAGE_NAME(B98)</f>
        <v>registration</v>
      </c>
      <c r="N98" s="31" t="str" cm="1">
        <f t="array" ref="N98">SECTION_NAME(B98)</f>
        <v>software-statement</v>
      </c>
      <c r="O98" s="5" t="str">
        <f t="shared" si="18"/>
        <v>SHALL</v>
      </c>
      <c r="P98" s="5" t="str">
        <f t="shared" si="19"/>
        <v>Client</v>
      </c>
      <c r="R98" s="5" t="s">
        <v>440</v>
      </c>
    </row>
    <row r="99" spans="1:18" ht="68" x14ac:dyDescent="0.2">
      <c r="A99" s="2">
        <v>98</v>
      </c>
      <c r="B99" s="30" t="s">
        <v>121</v>
      </c>
      <c r="C99" s="36" t="s">
        <v>149</v>
      </c>
      <c r="D99" s="2" t="s">
        <v>39</v>
      </c>
      <c r="E99" s="2" t="s">
        <v>45</v>
      </c>
      <c r="M99" s="31" t="str" cm="1">
        <f t="array" ref="M99">PAGE_NAME(B99)</f>
        <v>registration</v>
      </c>
      <c r="N99" s="31" t="str" cm="1">
        <f t="array" ref="N99">SECTION_NAME(B99)</f>
        <v>software-statement</v>
      </c>
      <c r="O99" s="5" t="str">
        <f>IF(ISNUMBER(SEARCH("MAY", C99)), "MAY", IF(ISNUMBER(SEARCH("SHOULD", C99)), "SHOULD", IF(ISNUMBER(SEARCH("SHALL", C99)), "SHALL", IF(ISNUMBER(SEARCH("SHOULD NOT", C99)), "SHOULD NOT", IF(ISNUMBER(SEARCH("SHALL NOT", C99)), "SHALL NOT", "")))))</f>
        <v>MAY</v>
      </c>
      <c r="P99" s="5" t="str">
        <f>IF(ISNUMBER(SEARCH("server", C99)), "Server", IF(ISNUMBER(SEARCH("Server", C99)), "Server", IF(ISNUMBER(SEARCH("client", C99)), "Client", IF(ISNUMBER(SEARCH("Client", C99)), "Client", IF(ISNUMBER(SEARCH("US Core Responder", C99)), "Server", IF(ISNUMBER(SEARCH("US Core Requestor", C99)), "Client", ""))))))</f>
        <v>Server</v>
      </c>
      <c r="R99" s="5" t="s">
        <v>440</v>
      </c>
    </row>
    <row r="100" spans="1:18" ht="85" x14ac:dyDescent="0.2">
      <c r="A100" s="2">
        <v>99</v>
      </c>
      <c r="B100" s="30" t="s">
        <v>121</v>
      </c>
      <c r="C100" s="36" t="s">
        <v>150</v>
      </c>
      <c r="D100" s="2" t="s">
        <v>37</v>
      </c>
      <c r="E100" s="2" t="s">
        <v>54</v>
      </c>
      <c r="M100" s="31" t="str" cm="1">
        <f t="array" ref="M100">PAGE_NAME(B100)</f>
        <v>registration</v>
      </c>
      <c r="N100" s="31" t="str" cm="1">
        <f t="array" ref="N100">SECTION_NAME(B100)</f>
        <v>software-statement</v>
      </c>
      <c r="O100" s="5" t="str">
        <f>IF(ISNUMBER(SEARCH("MAY", C100)), "MAY", IF(ISNUMBER(SEARCH("SHOULD", C100)), "SHOULD", IF(ISNUMBER(SEARCH("SHALL", C100)), "SHALL", IF(ISNUMBER(SEARCH("SHOULD NOT", C100)), "SHOULD NOT", IF(ISNUMBER(SEARCH("SHALL NOT", C100)), "SHALL NOT", "")))))</f>
        <v>SHOULD</v>
      </c>
      <c r="P100" s="5" t="str">
        <f>IF(ISNUMBER(SEARCH("server", C100)), "Server", IF(ISNUMBER(SEARCH("Server", C100)), "Server", IF(ISNUMBER(SEARCH("client", C100)), "Client", IF(ISNUMBER(SEARCH("Client", C100)), "Client", IF(ISNUMBER(SEARCH("US Core Responder", C100)), "Server", IF(ISNUMBER(SEARCH("US Core Requestor", C100)), "Client", ""))))))</f>
        <v>Client</v>
      </c>
      <c r="R100" s="5" t="s">
        <v>440</v>
      </c>
    </row>
    <row r="101" spans="1:18" ht="85" x14ac:dyDescent="0.2">
      <c r="A101" s="2">
        <v>100</v>
      </c>
      <c r="B101" s="30" t="s">
        <v>121</v>
      </c>
      <c r="C101" s="36" t="s">
        <v>151</v>
      </c>
      <c r="D101" s="2" t="s">
        <v>37</v>
      </c>
      <c r="E101" s="2" t="s">
        <v>54</v>
      </c>
      <c r="M101" s="31" t="str" cm="1">
        <f t="array" ref="M101">PAGE_NAME(B101)</f>
        <v>registration</v>
      </c>
      <c r="N101" s="31" t="str" cm="1">
        <f t="array" ref="N101">SECTION_NAME(B101)</f>
        <v>software-statement</v>
      </c>
      <c r="O101" s="5" t="str">
        <f>IF(ISNUMBER(SEARCH("MAY", C101)), "MAY", IF(ISNUMBER(SEARCH("SHOULD", C101)), "SHOULD", IF(ISNUMBER(SEARCH("SHALL", C101)), "SHALL", IF(ISNUMBER(SEARCH("SHOULD NOT", C101)), "SHOULD NOT", IF(ISNUMBER(SEARCH("SHALL NOT", C101)), "SHALL NOT", "")))))</f>
        <v>SHOULD</v>
      </c>
      <c r="P101" s="5" t="str">
        <f>IF(ISNUMBER(SEARCH("server", C101)), "Server", IF(ISNUMBER(SEARCH("Server", C101)), "Server", IF(ISNUMBER(SEARCH("client", C101)), "Client", IF(ISNUMBER(SEARCH("Client", C101)), "Client", IF(ISNUMBER(SEARCH("US Core Responder", C101)), "Server", IF(ISNUMBER(SEARCH("US Core Requestor", C101)), "Client", ""))))))</f>
        <v>Client</v>
      </c>
      <c r="R101" s="5" t="s">
        <v>440</v>
      </c>
    </row>
    <row r="102" spans="1:18" ht="68" x14ac:dyDescent="0.2">
      <c r="A102" s="2">
        <v>101</v>
      </c>
      <c r="B102" s="30" t="s">
        <v>121</v>
      </c>
      <c r="C102" s="36" t="s">
        <v>152</v>
      </c>
      <c r="D102" s="2" t="s">
        <v>30</v>
      </c>
      <c r="E102" s="2" t="s">
        <v>54</v>
      </c>
      <c r="M102" s="31" t="str" cm="1">
        <f t="array" ref="M102">PAGE_NAME(B102)</f>
        <v>registration</v>
      </c>
      <c r="N102" s="31" t="str" cm="1">
        <f t="array" ref="N102">SECTION_NAME(B102)</f>
        <v>software-statement</v>
      </c>
      <c r="O102" s="5" t="str">
        <f t="shared" si="18"/>
        <v>SHALL</v>
      </c>
      <c r="P102" s="5" t="str">
        <f t="shared" si="19"/>
        <v>Client</v>
      </c>
      <c r="R102" s="5" t="s">
        <v>440</v>
      </c>
    </row>
    <row r="103" spans="1:18" ht="51" x14ac:dyDescent="0.2">
      <c r="A103" s="2">
        <v>102</v>
      </c>
      <c r="B103" s="30" t="s">
        <v>121</v>
      </c>
      <c r="C103" s="36" t="s">
        <v>153</v>
      </c>
      <c r="D103" s="2" t="s">
        <v>30</v>
      </c>
      <c r="E103" s="2" t="s">
        <v>54</v>
      </c>
      <c r="M103" s="31" t="str" cm="1">
        <f t="array" ref="M103">PAGE_NAME(B103)</f>
        <v>registration</v>
      </c>
      <c r="N103" s="31" t="str" cm="1">
        <f t="array" ref="N103">SECTION_NAME(B103)</f>
        <v>software-statement</v>
      </c>
      <c r="O103" s="5" t="str">
        <f t="shared" si="18"/>
        <v>SHALL</v>
      </c>
      <c r="P103" s="5" t="str">
        <f t="shared" si="19"/>
        <v>Client</v>
      </c>
      <c r="R103" s="5" t="s">
        <v>440</v>
      </c>
    </row>
    <row r="104" spans="1:18" ht="68" x14ac:dyDescent="0.2">
      <c r="A104" s="2">
        <v>103</v>
      </c>
      <c r="B104" s="30" t="s">
        <v>121</v>
      </c>
      <c r="C104" s="36" t="s">
        <v>154</v>
      </c>
      <c r="D104" s="2" t="s">
        <v>30</v>
      </c>
      <c r="E104" s="2" t="s">
        <v>54</v>
      </c>
      <c r="M104" s="31" t="str" cm="1">
        <f t="array" ref="M104">PAGE_NAME(B104)</f>
        <v>registration</v>
      </c>
      <c r="N104" s="31" t="str" cm="1">
        <f t="array" ref="N104">SECTION_NAME(B104)</f>
        <v>software-statement</v>
      </c>
      <c r="O104" s="5" t="str">
        <f t="shared" si="18"/>
        <v>SHALL</v>
      </c>
      <c r="P104" s="5" t="str">
        <f t="shared" si="19"/>
        <v>Server</v>
      </c>
      <c r="R104" s="5" t="s">
        <v>440</v>
      </c>
    </row>
    <row r="105" spans="1:18" ht="68" x14ac:dyDescent="0.2">
      <c r="A105" s="2">
        <v>104</v>
      </c>
      <c r="B105" s="30" t="s">
        <v>121</v>
      </c>
      <c r="C105" s="36" t="s">
        <v>155</v>
      </c>
      <c r="D105" s="2" t="s">
        <v>30</v>
      </c>
      <c r="E105" s="2" t="s">
        <v>54</v>
      </c>
      <c r="M105" s="31" t="str" cm="1">
        <f t="array" ref="M105">PAGE_NAME(B105)</f>
        <v>registration</v>
      </c>
      <c r="N105" s="31" t="str" cm="1">
        <f t="array" ref="N105">SECTION_NAME(B105)</f>
        <v>software-statement</v>
      </c>
      <c r="O105" s="5" t="str">
        <f>IF(ISNUMBER(SEARCH("MAY", C105)), "MAY", IF(ISNUMBER(SEARCH("SHOULD", C105)), "SHOULD", IF(ISNUMBER(SEARCH("SHALL", C105)), "SHALL", IF(ISNUMBER(SEARCH("SHOULD NOT", C105)), "SHOULD NOT", IF(ISNUMBER(SEARCH("SHALL NOT", C105)), "SHALL NOT", "")))))</f>
        <v>SHALL</v>
      </c>
      <c r="P105" s="5" t="str">
        <f>IF(ISNUMBER(SEARCH("server", C105)), "Server", IF(ISNUMBER(SEARCH("Server", C105)), "Server", IF(ISNUMBER(SEARCH("client", C105)), "Client", IF(ISNUMBER(SEARCH("Client", C105)), "Client", IF(ISNUMBER(SEARCH("US Core Responder", C105)), "Server", IF(ISNUMBER(SEARCH("US Core Requestor", C105)), "Client", ""))))))</f>
        <v>Server</v>
      </c>
      <c r="R105" s="5" t="s">
        <v>440</v>
      </c>
    </row>
    <row r="106" spans="1:18" ht="85" x14ac:dyDescent="0.2">
      <c r="A106" s="2">
        <v>105</v>
      </c>
      <c r="B106" s="30" t="s">
        <v>156</v>
      </c>
      <c r="C106" s="36" t="s">
        <v>157</v>
      </c>
      <c r="D106" s="2" t="s">
        <v>30</v>
      </c>
      <c r="E106" s="2" t="s">
        <v>45</v>
      </c>
      <c r="M106" s="31" t="str" cm="1">
        <f t="array" ref="M106">PAGE_NAME(B106)</f>
        <v>registration</v>
      </c>
      <c r="N106" s="31" t="str" cm="1">
        <f t="array" ref="N106">SECTION_NAME(B106)</f>
        <v>request-body</v>
      </c>
      <c r="O106" s="5" t="str">
        <f t="shared" si="18"/>
        <v>SHALL</v>
      </c>
      <c r="P106" s="5" t="str">
        <f t="shared" si="19"/>
        <v>Server</v>
      </c>
      <c r="R106" s="5" t="s">
        <v>440</v>
      </c>
    </row>
    <row r="107" spans="1:18" ht="68" x14ac:dyDescent="0.2">
      <c r="A107" s="2">
        <v>106</v>
      </c>
      <c r="B107" s="30" t="s">
        <v>158</v>
      </c>
      <c r="C107" s="36" t="s">
        <v>159</v>
      </c>
      <c r="D107" s="2" t="s">
        <v>30</v>
      </c>
      <c r="E107" s="2" t="s">
        <v>45</v>
      </c>
      <c r="O107" s="5" t="str">
        <f t="shared" si="18"/>
        <v/>
      </c>
      <c r="P107" s="5" t="str">
        <f t="shared" si="19"/>
        <v>Client</v>
      </c>
      <c r="R107" s="5" t="s">
        <v>440</v>
      </c>
    </row>
    <row r="108" spans="1:18" ht="48" x14ac:dyDescent="0.2">
      <c r="A108" s="2">
        <v>107</v>
      </c>
      <c r="B108" s="30" t="s">
        <v>160</v>
      </c>
      <c r="C108" s="36" t="s">
        <v>161</v>
      </c>
      <c r="D108" s="2" t="s">
        <v>30</v>
      </c>
      <c r="E108" s="2" t="s">
        <v>45</v>
      </c>
      <c r="O108" s="5" t="str">
        <f t="shared" ref="O108" si="20">IF(ISNUMBER(SEARCH("MAY", C108)), "MAY", IF(ISNUMBER(SEARCH("SHOULD", C108)), "SHOULD", IF(ISNUMBER(SEARCH("SHALL", C108)), "SHALL", IF(ISNUMBER(SEARCH("SHOULD NOT", C108)), "SHOULD NOT", IF(ISNUMBER(SEARCH("SHALL NOT", C108)), "SHALL NOT", "")))))</f>
        <v/>
      </c>
      <c r="P108" s="5" t="str">
        <f t="shared" ref="P108" si="21">IF(ISNUMBER(SEARCH("server", C108)), "Server", IF(ISNUMBER(SEARCH("Server", C108)), "Server", IF(ISNUMBER(SEARCH("client", C108)), "Client", IF(ISNUMBER(SEARCH("Client", C108)), "Client", IF(ISNUMBER(SEARCH("US Core Responder", C108)), "Server", IF(ISNUMBER(SEARCH("US Core Requestor", C108)), "Client", ""))))))</f>
        <v/>
      </c>
      <c r="R108" s="5" t="s">
        <v>440</v>
      </c>
    </row>
    <row r="109" spans="1:18" ht="112.25" customHeight="1" x14ac:dyDescent="0.2">
      <c r="A109" s="2">
        <v>108</v>
      </c>
      <c r="B109" s="30" t="s">
        <v>162</v>
      </c>
      <c r="C109" s="36" t="s">
        <v>163</v>
      </c>
      <c r="D109" s="2" t="s">
        <v>30</v>
      </c>
      <c r="E109" s="2" t="s">
        <v>45</v>
      </c>
      <c r="O109" s="5" t="str">
        <f t="shared" ref="O109" si="22">IF(ISNUMBER(SEARCH("MAY", C109)), "MAY", IF(ISNUMBER(SEARCH("SHOULD", C109)), "SHOULD", IF(ISNUMBER(SEARCH("SHALL", C109)), "SHALL", IF(ISNUMBER(SEARCH("SHOULD NOT", C109)), "SHOULD NOT", IF(ISNUMBER(SEARCH("SHALL NOT", C109)), "SHALL NOT", "")))))</f>
        <v/>
      </c>
      <c r="P109" s="5" t="str">
        <f t="shared" ref="P109" si="23">IF(ISNUMBER(SEARCH("server", C109)), "Server", IF(ISNUMBER(SEARCH("Server", C109)), "Server", IF(ISNUMBER(SEARCH("client", C109)), "Client", IF(ISNUMBER(SEARCH("Client", C109)), "Client", IF(ISNUMBER(SEARCH("US Core Responder", C109)), "Server", IF(ISNUMBER(SEARCH("US Core Requestor", C109)), "Client", ""))))))</f>
        <v>Server</v>
      </c>
      <c r="R109" s="5" t="s">
        <v>440</v>
      </c>
    </row>
    <row r="110" spans="1:18" ht="112.25" customHeight="1" x14ac:dyDescent="0.2">
      <c r="A110" s="2">
        <v>109</v>
      </c>
      <c r="B110" s="30" t="s">
        <v>164</v>
      </c>
      <c r="C110" s="36" t="s">
        <v>165</v>
      </c>
      <c r="D110" s="2" t="s">
        <v>30</v>
      </c>
      <c r="E110" s="2" t="s">
        <v>45</v>
      </c>
      <c r="O110" s="5" t="str">
        <f t="shared" ref="O110" si="24">IF(ISNUMBER(SEARCH("MAY", C110)), "MAY", IF(ISNUMBER(SEARCH("SHOULD", C110)), "SHOULD", IF(ISNUMBER(SEARCH("SHALL", C110)), "SHALL", IF(ISNUMBER(SEARCH("SHOULD NOT", C110)), "SHOULD NOT", IF(ISNUMBER(SEARCH("SHALL NOT", C110)), "SHALL NOT", "")))))</f>
        <v/>
      </c>
      <c r="P110" s="5" t="str">
        <f t="shared" ref="P110" si="25">IF(ISNUMBER(SEARCH("server", C110)), "Server", IF(ISNUMBER(SEARCH("Server", C110)), "Server", IF(ISNUMBER(SEARCH("client", C110)), "Client", IF(ISNUMBER(SEARCH("Client", C110)), "Client", IF(ISNUMBER(SEARCH("US Core Responder", C110)), "Server", IF(ISNUMBER(SEARCH("US Core Requestor", C110)), "Client", ""))))))</f>
        <v/>
      </c>
      <c r="R110" s="5" t="s">
        <v>440</v>
      </c>
    </row>
    <row r="111" spans="1:18" ht="119" x14ac:dyDescent="0.2">
      <c r="A111" s="2">
        <v>110</v>
      </c>
      <c r="B111" s="30" t="s">
        <v>166</v>
      </c>
      <c r="C111" s="36" t="s">
        <v>167</v>
      </c>
      <c r="D111" s="2" t="s">
        <v>30</v>
      </c>
      <c r="E111" s="2" t="s">
        <v>45</v>
      </c>
      <c r="M111" s="31" t="str" cm="1">
        <f t="array" ref="M111">PAGE_NAME(B111)</f>
        <v>udap-dynamic-client-registration-stu1</v>
      </c>
      <c r="N111" s="31" t="str" cm="1">
        <f t="array" ref="N111">SECTION_NAME(B111)</f>
        <v>section-5.1</v>
      </c>
      <c r="O111" s="5" t="str">
        <f t="shared" si="18"/>
        <v>SHALL</v>
      </c>
      <c r="P111" s="5" t="str">
        <f t="shared" si="19"/>
        <v>Server</v>
      </c>
      <c r="R111" s="5" t="s">
        <v>440</v>
      </c>
    </row>
    <row r="112" spans="1:18" ht="136" x14ac:dyDescent="0.2">
      <c r="A112" s="2">
        <v>111</v>
      </c>
      <c r="B112" s="30" t="s">
        <v>166</v>
      </c>
      <c r="C112" s="36" t="s">
        <v>168</v>
      </c>
      <c r="D112" s="2" t="s">
        <v>30</v>
      </c>
      <c r="E112" s="2" t="s">
        <v>45</v>
      </c>
      <c r="M112" s="31" t="str" cm="1">
        <f t="array" ref="M112">PAGE_NAME(B112)</f>
        <v>udap-dynamic-client-registration-stu1</v>
      </c>
      <c r="N112" s="31" t="str" cm="1">
        <f t="array" ref="N112">SECTION_NAME(B112)</f>
        <v>section-5.1</v>
      </c>
      <c r="O112" s="5" t="str">
        <f t="shared" ref="O112" si="26">IF(ISNUMBER(SEARCH("MAY", C112)), "MAY", IF(ISNUMBER(SEARCH("SHOULD", C112)), "SHOULD", IF(ISNUMBER(SEARCH("SHALL", C112)), "SHALL", IF(ISNUMBER(SEARCH("SHOULD NOT", C112)), "SHOULD NOT", IF(ISNUMBER(SEARCH("SHALL NOT", C112)), "SHALL NOT", "")))))</f>
        <v>SHALL</v>
      </c>
      <c r="P112" s="5" t="str">
        <f t="shared" ref="P112" si="27">IF(ISNUMBER(SEARCH("server", C112)), "Server", IF(ISNUMBER(SEARCH("Server", C112)), "Server", IF(ISNUMBER(SEARCH("client", C112)), "Client", IF(ISNUMBER(SEARCH("Client", C112)), "Client", IF(ISNUMBER(SEARCH("US Core Responder", C112)), "Server", IF(ISNUMBER(SEARCH("US Core Requestor", C112)), "Client", ""))))))</f>
        <v>Server</v>
      </c>
      <c r="R112" s="5" t="s">
        <v>440</v>
      </c>
    </row>
    <row r="113" spans="1:18" ht="85" x14ac:dyDescent="0.2">
      <c r="A113" s="2">
        <v>112</v>
      </c>
      <c r="B113" s="30" t="s">
        <v>166</v>
      </c>
      <c r="C113" s="36" t="s">
        <v>169</v>
      </c>
      <c r="D113" s="2" t="s">
        <v>30</v>
      </c>
      <c r="E113" s="2" t="s">
        <v>45</v>
      </c>
      <c r="M113" s="31" t="str" cm="1">
        <f t="array" ref="M113">PAGE_NAME(B113)</f>
        <v>udap-dynamic-client-registration-stu1</v>
      </c>
      <c r="N113" s="31" t="str" cm="1">
        <f t="array" ref="N113">SECTION_NAME(B113)</f>
        <v>section-5.1</v>
      </c>
      <c r="O113" s="5" t="str">
        <f t="shared" ref="O113" si="28">IF(ISNUMBER(SEARCH("MAY", C113)), "MAY", IF(ISNUMBER(SEARCH("SHOULD", C113)), "SHOULD", IF(ISNUMBER(SEARCH("SHALL", C113)), "SHALL", IF(ISNUMBER(SEARCH("SHOULD NOT", C113)), "SHOULD NOT", IF(ISNUMBER(SEARCH("SHALL NOT", C113)), "SHALL NOT", "")))))</f>
        <v/>
      </c>
      <c r="P113" s="5" t="str">
        <f t="shared" ref="P113" si="29">IF(ISNUMBER(SEARCH("server", C113)), "Server", IF(ISNUMBER(SEARCH("Server", C113)), "Server", IF(ISNUMBER(SEARCH("client", C113)), "Client", IF(ISNUMBER(SEARCH("Client", C113)), "Client", IF(ISNUMBER(SEARCH("US Core Responder", C113)), "Server", IF(ISNUMBER(SEARCH("US Core Requestor", C113)), "Client", ""))))))</f>
        <v>Server</v>
      </c>
      <c r="R113" s="5" t="s">
        <v>440</v>
      </c>
    </row>
    <row r="114" spans="1:18" ht="85" x14ac:dyDescent="0.2">
      <c r="A114" s="2">
        <v>113</v>
      </c>
      <c r="B114" s="30" t="s">
        <v>156</v>
      </c>
      <c r="C114" s="36" t="s">
        <v>170</v>
      </c>
      <c r="D114" s="2" t="s">
        <v>30</v>
      </c>
      <c r="E114" s="2" t="s">
        <v>45</v>
      </c>
      <c r="M114" s="31" t="str" cm="1">
        <f t="array" ref="M114">PAGE_NAME(B114)</f>
        <v>registration</v>
      </c>
      <c r="N114" s="31" t="str" cm="1">
        <f t="array" ref="N114">SECTION_NAME(B114)</f>
        <v>request-body</v>
      </c>
      <c r="O114" s="5" t="str">
        <f>IF(ISNUMBER(SEARCH("MAY", C114)), "MAY", IF(ISNUMBER(SEARCH("SHOULD", C114)), "SHOULD", IF(ISNUMBER(SEARCH("SHALL", C114)), "SHALL", IF(ISNUMBER(SEARCH("SHOULD NOT", C114)), "SHOULD NOT", IF(ISNUMBER(SEARCH("SHALL NOT", C114)), "SHALL NOT", "")))))</f>
        <v>SHALL</v>
      </c>
      <c r="P114" s="5" t="str">
        <f>IF(ISNUMBER(SEARCH("server", C114)), "Server", IF(ISNUMBER(SEARCH("Server", C114)), "Server", IF(ISNUMBER(SEARCH("client", C114)), "Client", IF(ISNUMBER(SEARCH("Client", C114)), "Client", IF(ISNUMBER(SEARCH("US Core Responder", C114)), "Server", IF(ISNUMBER(SEARCH("US Core Requestor", C114)), "Client", ""))))))</f>
        <v>Server</v>
      </c>
      <c r="R114" s="5" t="s">
        <v>440</v>
      </c>
    </row>
    <row r="115" spans="1:18" ht="119" x14ac:dyDescent="0.2">
      <c r="A115" s="2">
        <v>114</v>
      </c>
      <c r="B115" s="30" t="s">
        <v>156</v>
      </c>
      <c r="C115" s="36" t="s">
        <v>171</v>
      </c>
      <c r="D115" s="2" t="s">
        <v>30</v>
      </c>
      <c r="E115" s="2" t="s">
        <v>45</v>
      </c>
      <c r="M115" s="31" t="str" cm="1">
        <f t="array" ref="M115">PAGE_NAME(B115)</f>
        <v>registration</v>
      </c>
      <c r="N115" s="31" t="str" cm="1">
        <f t="array" ref="N115">SECTION_NAME(B115)</f>
        <v>request-body</v>
      </c>
      <c r="O115" s="5" t="str">
        <f t="shared" si="18"/>
        <v>SHALL</v>
      </c>
      <c r="P115" s="5" t="str">
        <f t="shared" si="19"/>
        <v>Server</v>
      </c>
      <c r="R115" s="5" t="s">
        <v>440</v>
      </c>
    </row>
    <row r="116" spans="1:18" ht="34" x14ac:dyDescent="0.2">
      <c r="A116" s="2">
        <v>115</v>
      </c>
      <c r="B116" s="30"/>
      <c r="D116" s="2" t="s">
        <v>172</v>
      </c>
      <c r="R116" s="5" t="s">
        <v>440</v>
      </c>
    </row>
    <row r="117" spans="1:18" ht="80" x14ac:dyDescent="0.2">
      <c r="A117" s="2">
        <v>116</v>
      </c>
      <c r="B117" s="30" t="s">
        <v>173</v>
      </c>
      <c r="C117" s="36" t="s">
        <v>174</v>
      </c>
      <c r="D117" s="2" t="s">
        <v>30</v>
      </c>
      <c r="E117" s="2" t="s">
        <v>45</v>
      </c>
      <c r="M117" s="31" t="str" cm="1">
        <f t="array" ref="M117">PAGE_NAME(B117)</f>
        <v>registration</v>
      </c>
      <c r="N117" s="31" t="str" cm="1">
        <f t="array" ref="N117">SECTION_NAME(B117)</f>
        <v>inclusion-of-certifications-and-endorsements</v>
      </c>
      <c r="O117" s="5" t="str">
        <f t="shared" ref="O117" si="30">IF(ISNUMBER(SEARCH("MAY", C117)), "MAY", IF(ISNUMBER(SEARCH("SHOULD", C117)), "SHOULD", IF(ISNUMBER(SEARCH("SHALL", C117)), "SHALL", IF(ISNUMBER(SEARCH("SHOULD NOT", C117)), "SHOULD NOT", IF(ISNUMBER(SEARCH("SHALL NOT", C117)), "SHALL NOT", "")))))</f>
        <v>SHALL</v>
      </c>
      <c r="P117" s="5" t="str">
        <f t="shared" ref="P117" si="31">IF(ISNUMBER(SEARCH("server", C117)), "Server", IF(ISNUMBER(SEARCH("Server", C117)), "Server", IF(ISNUMBER(SEARCH("client", C117)), "Client", IF(ISNUMBER(SEARCH("Client", C117)), "Client", IF(ISNUMBER(SEARCH("US Core Responder", C117)), "Server", IF(ISNUMBER(SEARCH("US Core Requestor", C117)), "Client", ""))))))</f>
        <v>Server</v>
      </c>
      <c r="R117" s="5" t="s">
        <v>440</v>
      </c>
    </row>
    <row r="118" spans="1:18" ht="80" x14ac:dyDescent="0.2">
      <c r="A118" s="2">
        <v>117</v>
      </c>
      <c r="B118" s="30" t="s">
        <v>173</v>
      </c>
      <c r="C118" s="36" t="s">
        <v>175</v>
      </c>
      <c r="D118" s="2" t="s">
        <v>39</v>
      </c>
      <c r="E118" s="2" t="s">
        <v>45</v>
      </c>
      <c r="M118" s="31" t="str" cm="1">
        <f t="array" ref="M118">PAGE_NAME(B118)</f>
        <v>registration</v>
      </c>
      <c r="N118" s="31" t="str" cm="1">
        <f t="array" ref="N118">SECTION_NAME(B118)</f>
        <v>inclusion-of-certifications-and-endorsements</v>
      </c>
      <c r="O118" s="5" t="str">
        <f t="shared" ref="O118:O119" si="32">IF(ISNUMBER(SEARCH("MAY", C118)), "MAY", IF(ISNUMBER(SEARCH("SHOULD", C118)), "SHOULD", IF(ISNUMBER(SEARCH("SHALL", C118)), "SHALL", IF(ISNUMBER(SEARCH("SHOULD NOT", C118)), "SHOULD NOT", IF(ISNUMBER(SEARCH("SHALL NOT", C118)), "SHALL NOT", "")))))</f>
        <v>MAY</v>
      </c>
      <c r="P118" s="5" t="str">
        <f t="shared" ref="P118:P119" si="33">IF(ISNUMBER(SEARCH("server", C118)), "Server", IF(ISNUMBER(SEARCH("Server", C118)), "Server", IF(ISNUMBER(SEARCH("client", C118)), "Client", IF(ISNUMBER(SEARCH("Client", C118)), "Client", IF(ISNUMBER(SEARCH("US Core Responder", C118)), "Server", IF(ISNUMBER(SEARCH("US Core Requestor", C118)), "Client", ""))))))</f>
        <v>Server</v>
      </c>
      <c r="R118" s="5" t="s">
        <v>440</v>
      </c>
    </row>
    <row r="119" spans="1:18" ht="102" x14ac:dyDescent="0.2">
      <c r="A119" s="2">
        <v>118</v>
      </c>
      <c r="B119" s="30" t="s">
        <v>173</v>
      </c>
      <c r="C119" s="36" t="s">
        <v>176</v>
      </c>
      <c r="D119" s="2" t="s">
        <v>30</v>
      </c>
      <c r="E119" s="2" t="s">
        <v>45</v>
      </c>
      <c r="M119" s="31" t="str" cm="1">
        <f t="array" ref="M119">PAGE_NAME(B119)</f>
        <v>registration</v>
      </c>
      <c r="N119" s="31" t="str" cm="1">
        <f t="array" ref="N119">SECTION_NAME(B119)</f>
        <v>inclusion-of-certifications-and-endorsements</v>
      </c>
      <c r="O119" s="5" t="str">
        <f t="shared" si="32"/>
        <v>SHALL</v>
      </c>
      <c r="P119" s="5" t="str">
        <f t="shared" si="33"/>
        <v>Server</v>
      </c>
      <c r="R119" s="5" t="s">
        <v>440</v>
      </c>
    </row>
    <row r="120" spans="1:18" ht="204" x14ac:dyDescent="0.2">
      <c r="A120" s="2">
        <v>119</v>
      </c>
      <c r="B120" s="30" t="s">
        <v>177</v>
      </c>
      <c r="C120" s="36" t="s">
        <v>178</v>
      </c>
      <c r="D120" s="2" t="s">
        <v>30</v>
      </c>
      <c r="E120" s="2" t="s">
        <v>45</v>
      </c>
      <c r="M120" s="31" t="str" cm="1">
        <f t="array" ref="M120">PAGE_NAME(B120)</f>
        <v>registration</v>
      </c>
      <c r="N120" s="31" t="str" cm="1">
        <f t="array" ref="N120">SECTION_NAME(B120)</f>
        <v>modifying-and-cancelling-registrations</v>
      </c>
      <c r="O120" s="5" t="str">
        <f t="shared" ref="O120" si="34">IF(ISNUMBER(SEARCH("MAY", C120)), "MAY", IF(ISNUMBER(SEARCH("SHOULD", C120)), "SHOULD", IF(ISNUMBER(SEARCH("SHALL", C120)), "SHALL", IF(ISNUMBER(SEARCH("SHOULD NOT", C120)), "SHOULD NOT", IF(ISNUMBER(SEARCH("SHALL NOT", C120)), "SHALL NOT", "")))))</f>
        <v>SHALL</v>
      </c>
      <c r="P120" s="5" t="str">
        <f t="shared" ref="P120" si="35">IF(ISNUMBER(SEARCH("server", C120)), "Server", IF(ISNUMBER(SEARCH("Server", C120)), "Server", IF(ISNUMBER(SEARCH("client", C120)), "Client", IF(ISNUMBER(SEARCH("Client", C120)), "Client", IF(ISNUMBER(SEARCH("US Core Responder", C120)), "Server", IF(ISNUMBER(SEARCH("US Core Requestor", C120)), "Client", ""))))))</f>
        <v>Server</v>
      </c>
      <c r="R120" s="5" t="s">
        <v>440</v>
      </c>
    </row>
    <row r="121" spans="1:18" ht="68" x14ac:dyDescent="0.2">
      <c r="A121" s="2">
        <v>120</v>
      </c>
      <c r="B121" s="30" t="s">
        <v>177</v>
      </c>
      <c r="C121" s="36" t="s">
        <v>179</v>
      </c>
      <c r="D121" s="2" t="s">
        <v>37</v>
      </c>
      <c r="E121" s="2" t="s">
        <v>45</v>
      </c>
      <c r="M121" s="31" t="str" cm="1">
        <f t="array" ref="M121">PAGE_NAME(B121)</f>
        <v>registration</v>
      </c>
      <c r="N121" s="31" t="str" cm="1">
        <f t="array" ref="N121">SECTION_NAME(B121)</f>
        <v>modifying-and-cancelling-registrations</v>
      </c>
      <c r="O121" s="5" t="str">
        <f t="shared" ref="O121" si="36">IF(ISNUMBER(SEARCH("MAY", C121)), "MAY", IF(ISNUMBER(SEARCH("SHOULD", C121)), "SHOULD", IF(ISNUMBER(SEARCH("SHALL", C121)), "SHALL", IF(ISNUMBER(SEARCH("SHOULD NOT", C121)), "SHOULD NOT", IF(ISNUMBER(SEARCH("SHALL NOT", C121)), "SHALL NOT", "")))))</f>
        <v>SHOULD</v>
      </c>
      <c r="P121" s="5" t="str">
        <f t="shared" ref="P121" si="37">IF(ISNUMBER(SEARCH("server", C121)), "Server", IF(ISNUMBER(SEARCH("Server", C121)), "Server", IF(ISNUMBER(SEARCH("client", C121)), "Client", IF(ISNUMBER(SEARCH("Client", C121)), "Client", IF(ISNUMBER(SEARCH("US Core Responder", C121)), "Server", IF(ISNUMBER(SEARCH("US Core Requestor", C121)), "Client", ""))))))</f>
        <v>Server</v>
      </c>
      <c r="R121" s="5" t="s">
        <v>440</v>
      </c>
    </row>
    <row r="122" spans="1:18" ht="68" x14ac:dyDescent="0.2">
      <c r="A122" s="2">
        <v>121</v>
      </c>
      <c r="B122" s="30" t="s">
        <v>177</v>
      </c>
      <c r="C122" s="36" t="s">
        <v>180</v>
      </c>
      <c r="D122" s="2" t="s">
        <v>30</v>
      </c>
      <c r="E122" s="2" t="s">
        <v>45</v>
      </c>
      <c r="M122" s="31" t="str" cm="1">
        <f t="array" ref="M122">PAGE_NAME(B122)</f>
        <v>registration</v>
      </c>
      <c r="N122" s="31" t="str" cm="1">
        <f t="array" ref="N122">SECTION_NAME(B122)</f>
        <v>modifying-and-cancelling-registrations</v>
      </c>
      <c r="O122" s="5" t="str">
        <f t="shared" ref="O122" si="38">IF(ISNUMBER(SEARCH("MAY", C122)), "MAY", IF(ISNUMBER(SEARCH("SHOULD", C122)), "SHOULD", IF(ISNUMBER(SEARCH("SHALL", C122)), "SHALL", IF(ISNUMBER(SEARCH("SHOULD NOT", C122)), "SHOULD NOT", IF(ISNUMBER(SEARCH("SHALL NOT", C122)), "SHALL NOT", "")))))</f>
        <v>SHALL</v>
      </c>
      <c r="P122" s="5" t="str">
        <f t="shared" ref="P122" si="39">IF(ISNUMBER(SEARCH("server", C122)), "Server", IF(ISNUMBER(SEARCH("Server", C122)), "Server", IF(ISNUMBER(SEARCH("client", C122)), "Client", IF(ISNUMBER(SEARCH("Client", C122)), "Client", IF(ISNUMBER(SEARCH("US Core Responder", C122)), "Server", IF(ISNUMBER(SEARCH("US Core Requestor", C122)), "Client", ""))))))</f>
        <v>Client</v>
      </c>
      <c r="R122" s="5" t="s">
        <v>440</v>
      </c>
    </row>
    <row r="123" spans="1:18" ht="102" x14ac:dyDescent="0.2">
      <c r="A123" s="2">
        <v>122</v>
      </c>
      <c r="B123" s="30" t="s">
        <v>177</v>
      </c>
      <c r="C123" s="36" t="s">
        <v>181</v>
      </c>
      <c r="D123" s="2" t="s">
        <v>37</v>
      </c>
      <c r="E123" s="2" t="s">
        <v>45</v>
      </c>
      <c r="M123" s="31" t="str" cm="1">
        <f t="array" ref="M123">PAGE_NAME(B123)</f>
        <v>registration</v>
      </c>
      <c r="N123" s="31" t="str" cm="1">
        <f t="array" ref="N123">SECTION_NAME(B123)</f>
        <v>modifying-and-cancelling-registrations</v>
      </c>
      <c r="O123" s="5" t="str">
        <f t="shared" ref="O123" si="40">IF(ISNUMBER(SEARCH("MAY", C123)), "MAY", IF(ISNUMBER(SEARCH("SHOULD", C123)), "SHOULD", IF(ISNUMBER(SEARCH("SHALL", C123)), "SHALL", IF(ISNUMBER(SEARCH("SHOULD NOT", C123)), "SHOULD NOT", IF(ISNUMBER(SEARCH("SHALL NOT", C123)), "SHALL NOT", "")))))</f>
        <v>SHOULD</v>
      </c>
      <c r="P123" s="5" t="str">
        <f t="shared" ref="P123" si="41">IF(ISNUMBER(SEARCH("server", C123)), "Server", IF(ISNUMBER(SEARCH("Server", C123)), "Server", IF(ISNUMBER(SEARCH("client", C123)), "Client", IF(ISNUMBER(SEARCH("Client", C123)), "Client", IF(ISNUMBER(SEARCH("US Core Responder", C123)), "Server", IF(ISNUMBER(SEARCH("US Core Requestor", C123)), "Client", ""))))))</f>
        <v>Server</v>
      </c>
      <c r="R123" s="5" t="s">
        <v>440</v>
      </c>
    </row>
    <row r="124" spans="1:18" ht="102" x14ac:dyDescent="0.2">
      <c r="A124" s="2">
        <v>123</v>
      </c>
      <c r="B124" s="30" t="s">
        <v>177</v>
      </c>
      <c r="C124" s="36" t="s">
        <v>182</v>
      </c>
      <c r="D124" s="2" t="s">
        <v>30</v>
      </c>
      <c r="E124" s="2" t="s">
        <v>54</v>
      </c>
      <c r="M124" s="31" t="str" cm="1">
        <f t="array" ref="M124">PAGE_NAME(B124)</f>
        <v>registration</v>
      </c>
      <c r="N124" s="31" t="str" cm="1">
        <f t="array" ref="N124">SECTION_NAME(B124)</f>
        <v>modifying-and-cancelling-registrations</v>
      </c>
      <c r="O124" s="5" t="str">
        <f t="shared" ref="O124" si="42">IF(ISNUMBER(SEARCH("MAY", C124)), "MAY", IF(ISNUMBER(SEARCH("SHOULD", C124)), "SHOULD", IF(ISNUMBER(SEARCH("SHALL", C124)), "SHALL", IF(ISNUMBER(SEARCH("SHOULD NOT", C124)), "SHOULD NOT", IF(ISNUMBER(SEARCH("SHALL NOT", C124)), "SHALL NOT", "")))))</f>
        <v>SHALL</v>
      </c>
      <c r="P124" s="5" t="str">
        <f t="shared" ref="P124" si="43">IF(ISNUMBER(SEARCH("server", C124)), "Server", IF(ISNUMBER(SEARCH("Server", C124)), "Server", IF(ISNUMBER(SEARCH("client", C124)), "Client", IF(ISNUMBER(SEARCH("Client", C124)), "Client", IF(ISNUMBER(SEARCH("US Core Responder", C124)), "Server", IF(ISNUMBER(SEARCH("US Core Requestor", C124)), "Client", ""))))))</f>
        <v>Server</v>
      </c>
      <c r="R124" s="5" t="s">
        <v>440</v>
      </c>
    </row>
    <row r="125" spans="1:18" ht="68" x14ac:dyDescent="0.2">
      <c r="A125" s="2">
        <v>124</v>
      </c>
      <c r="B125" s="30" t="s">
        <v>177</v>
      </c>
      <c r="C125" s="36" t="s">
        <v>183</v>
      </c>
      <c r="D125" s="2" t="s">
        <v>37</v>
      </c>
      <c r="E125" s="2" t="s">
        <v>45</v>
      </c>
      <c r="M125" s="31" t="str" cm="1">
        <f t="array" ref="M125">PAGE_NAME(B125)</f>
        <v>registration</v>
      </c>
      <c r="N125" s="31" t="str" cm="1">
        <f t="array" ref="N125">SECTION_NAME(B125)</f>
        <v>modifying-and-cancelling-registrations</v>
      </c>
      <c r="O125" s="5" t="str">
        <f t="shared" ref="O125" si="44">IF(ISNUMBER(SEARCH("MAY", C125)), "MAY", IF(ISNUMBER(SEARCH("SHOULD", C125)), "SHOULD", IF(ISNUMBER(SEARCH("SHALL", C125)), "SHALL", IF(ISNUMBER(SEARCH("SHOULD NOT", C125)), "SHOULD NOT", IF(ISNUMBER(SEARCH("SHALL NOT", C125)), "SHALL NOT", "")))))</f>
        <v>SHOULD</v>
      </c>
      <c r="P125" s="5" t="str">
        <f t="shared" ref="P125" si="45">IF(ISNUMBER(SEARCH("server", C125)), "Server", IF(ISNUMBER(SEARCH("Server", C125)), "Server", IF(ISNUMBER(SEARCH("client", C125)), "Client", IF(ISNUMBER(SEARCH("Client", C125)), "Client", IF(ISNUMBER(SEARCH("US Core Responder", C125)), "Server", IF(ISNUMBER(SEARCH("US Core Requestor", C125)), "Client", ""))))))</f>
        <v>Server</v>
      </c>
      <c r="R125" s="5" t="s">
        <v>440</v>
      </c>
    </row>
    <row r="126" spans="1:18" ht="85" x14ac:dyDescent="0.2">
      <c r="A126" s="2">
        <v>125</v>
      </c>
      <c r="B126" s="30" t="s">
        <v>177</v>
      </c>
      <c r="C126" s="36" t="s">
        <v>184</v>
      </c>
      <c r="D126" s="2" t="s">
        <v>37</v>
      </c>
      <c r="E126" s="2" t="s">
        <v>45</v>
      </c>
      <c r="M126" s="31" t="str" cm="1">
        <f t="array" ref="M126">PAGE_NAME(B126)</f>
        <v>registration</v>
      </c>
      <c r="N126" s="31" t="str" cm="1">
        <f t="array" ref="N126">SECTION_NAME(B126)</f>
        <v>modifying-and-cancelling-registrations</v>
      </c>
      <c r="O126" s="5" t="str">
        <f t="shared" ref="O126" si="46">IF(ISNUMBER(SEARCH("MAY", C126)), "MAY", IF(ISNUMBER(SEARCH("SHOULD", C126)), "SHOULD", IF(ISNUMBER(SEARCH("SHALL", C126)), "SHALL", IF(ISNUMBER(SEARCH("SHOULD NOT", C126)), "SHOULD NOT", IF(ISNUMBER(SEARCH("SHALL NOT", C126)), "SHALL NOT", "")))))</f>
        <v>SHALL</v>
      </c>
      <c r="P126" s="5" t="str">
        <f t="shared" ref="P126" si="47">IF(ISNUMBER(SEARCH("server", C126)), "Server", IF(ISNUMBER(SEARCH("Server", C126)), "Server", IF(ISNUMBER(SEARCH("client", C126)), "Client", IF(ISNUMBER(SEARCH("Client", C126)), "Client", IF(ISNUMBER(SEARCH("US Core Responder", C126)), "Server", IF(ISNUMBER(SEARCH("US Core Requestor", C126)), "Client", ""))))))</f>
        <v>Server</v>
      </c>
      <c r="R126" s="5" t="s">
        <v>440</v>
      </c>
    </row>
    <row r="127" spans="1:18" ht="68" x14ac:dyDescent="0.2">
      <c r="A127" s="2">
        <v>126</v>
      </c>
      <c r="B127" s="30" t="s">
        <v>185</v>
      </c>
      <c r="C127" s="36" t="s">
        <v>186</v>
      </c>
      <c r="D127" s="2" t="s">
        <v>30</v>
      </c>
      <c r="E127" s="2" t="s">
        <v>54</v>
      </c>
      <c r="M127" s="31" t="str" cm="1">
        <f t="array" ref="M127">PAGE_NAME(B127)</f>
        <v>consumer</v>
      </c>
      <c r="N127" s="31" t="str" cm="1">
        <f t="array" ref="N127">SECTION_NAME(B127)</f>
        <v>consumer-facing</v>
      </c>
      <c r="O127" s="5" t="str">
        <f t="shared" ref="O127:O203" si="48">IF(ISNUMBER(SEARCH("MAY", C127)), "MAY", IF(ISNUMBER(SEARCH("SHOULD", C127)), "SHOULD", IF(ISNUMBER(SEARCH("SHALL", C127)), "SHALL", IF(ISNUMBER(SEARCH("SHOULD NOT", C127)), "SHOULD NOT", IF(ISNUMBER(SEARCH("SHALL NOT", C127)), "SHALL NOT", "")))))</f>
        <v>SHALL</v>
      </c>
      <c r="P127" s="5" t="str">
        <f t="shared" ref="P127:P203" si="49">IF(ISNUMBER(SEARCH("server", C127)), "Server", IF(ISNUMBER(SEARCH("Server", C127)), "Server", IF(ISNUMBER(SEARCH("client", C127)), "Client", IF(ISNUMBER(SEARCH("Client", C127)), "Client", IF(ISNUMBER(SEARCH("US Core Responder", C127)), "Server", IF(ISNUMBER(SEARCH("US Core Requestor", C127)), "Client", ""))))))</f>
        <v>Client</v>
      </c>
      <c r="R127" s="5" t="s">
        <v>442</v>
      </c>
    </row>
    <row r="128" spans="1:18" ht="68" x14ac:dyDescent="0.2">
      <c r="A128" s="2">
        <v>127</v>
      </c>
      <c r="B128" s="30" t="s">
        <v>187</v>
      </c>
      <c r="C128" s="36" t="s">
        <v>188</v>
      </c>
      <c r="D128" s="2" t="s">
        <v>30</v>
      </c>
      <c r="E128" s="2" t="s">
        <v>54</v>
      </c>
      <c r="F128" s="30" t="s">
        <v>266</v>
      </c>
      <c r="M128" s="31" t="str" cm="1">
        <f t="array" ref="M128">PAGE_NAME(B128)</f>
        <v>consumer</v>
      </c>
      <c r="N128" s="31" t="str" cm="1">
        <f t="array" ref="N128">SECTION_NAME(B128)</f>
        <v>obtaining-an-authorization-code</v>
      </c>
      <c r="O128" s="5" t="str">
        <f t="shared" ref="O128:O129" si="50">IF(ISNUMBER(SEARCH("MAY", C128)), "MAY", IF(ISNUMBER(SEARCH("SHOULD", C128)), "SHOULD", IF(ISNUMBER(SEARCH("SHALL", C128)), "SHALL", IF(ISNUMBER(SEARCH("SHOULD NOT", C128)), "SHOULD NOT", IF(ISNUMBER(SEARCH("SHALL NOT", C128)), "SHALL NOT", "")))))</f>
        <v>SHALL</v>
      </c>
      <c r="P128" s="5" t="str">
        <f t="shared" ref="P128:P129" si="51">IF(ISNUMBER(SEARCH("server", C128)), "Server", IF(ISNUMBER(SEARCH("Server", C128)), "Server", IF(ISNUMBER(SEARCH("client", C128)), "Client", IF(ISNUMBER(SEARCH("Client", C128)), "Client", IF(ISNUMBER(SEARCH("US Core Responder", C128)), "Server", IF(ISNUMBER(SEARCH("US Core Requestor", C128)), "Client", ""))))))</f>
        <v>Client</v>
      </c>
      <c r="R128" s="5" t="s">
        <v>442</v>
      </c>
    </row>
    <row r="129" spans="1:22" ht="51" x14ac:dyDescent="0.2">
      <c r="A129" s="2">
        <v>128</v>
      </c>
      <c r="B129" s="30" t="s">
        <v>189</v>
      </c>
      <c r="C129" s="36" t="s">
        <v>190</v>
      </c>
      <c r="D129" s="2" t="s">
        <v>30</v>
      </c>
      <c r="E129" s="2" t="s">
        <v>54</v>
      </c>
      <c r="O129" s="5" t="str">
        <f t="shared" si="50"/>
        <v/>
      </c>
      <c r="P129" s="5" t="str">
        <f t="shared" si="51"/>
        <v>Client</v>
      </c>
      <c r="R129" s="5" t="s">
        <v>442</v>
      </c>
    </row>
    <row r="130" spans="1:22" ht="102" x14ac:dyDescent="0.2">
      <c r="A130" s="2">
        <v>129</v>
      </c>
      <c r="B130" s="30" t="s">
        <v>189</v>
      </c>
      <c r="C130" s="36" t="s">
        <v>191</v>
      </c>
      <c r="D130" s="2" t="s">
        <v>30</v>
      </c>
      <c r="E130" s="2" t="s">
        <v>54</v>
      </c>
      <c r="O130" s="5" t="str">
        <f t="shared" ref="O130" si="52">IF(ISNUMBER(SEARCH("MAY", C130)), "MAY", IF(ISNUMBER(SEARCH("SHOULD", C130)), "SHOULD", IF(ISNUMBER(SEARCH("SHALL", C130)), "SHALL", IF(ISNUMBER(SEARCH("SHOULD NOT", C130)), "SHOULD NOT", IF(ISNUMBER(SEARCH("SHALL NOT", C130)), "SHALL NOT", "")))))</f>
        <v/>
      </c>
      <c r="P130" s="5" t="str">
        <f t="shared" ref="P130" si="53">IF(ISNUMBER(SEARCH("server", C130)), "Server", IF(ISNUMBER(SEARCH("Server", C130)), "Server", IF(ISNUMBER(SEARCH("client", C130)), "Client", IF(ISNUMBER(SEARCH("Client", C130)), "Client", IF(ISNUMBER(SEARCH("US Core Responder", C130)), "Server", IF(ISNUMBER(SEARCH("US Core Requestor", C130)), "Client", ""))))))</f>
        <v>Client</v>
      </c>
      <c r="R130" s="5" t="s">
        <v>442</v>
      </c>
    </row>
    <row r="131" spans="1:22" ht="68" x14ac:dyDescent="0.2">
      <c r="A131" s="2">
        <v>130</v>
      </c>
      <c r="B131" s="30" t="s">
        <v>187</v>
      </c>
      <c r="C131" s="36" t="s">
        <v>192</v>
      </c>
      <c r="D131" s="2" t="s">
        <v>39</v>
      </c>
      <c r="E131" s="2" t="s">
        <v>54</v>
      </c>
      <c r="M131" s="31" t="str" cm="1">
        <f t="array" ref="M131">PAGE_NAME(B131)</f>
        <v>consumer</v>
      </c>
      <c r="N131" s="31" t="str" cm="1">
        <f t="array" ref="N131">SECTION_NAME(B131)</f>
        <v>obtaining-an-authorization-code</v>
      </c>
      <c r="O131" s="5" t="str">
        <f t="shared" ref="O131" si="54">IF(ISNUMBER(SEARCH("MAY", C131)), "MAY", IF(ISNUMBER(SEARCH("SHOULD", C131)), "SHOULD", IF(ISNUMBER(SEARCH("SHALL", C131)), "SHALL", IF(ISNUMBER(SEARCH("SHOULD NOT", C131)), "SHOULD NOT", IF(ISNUMBER(SEARCH("SHALL NOT", C131)), "SHALL NOT", "")))))</f>
        <v/>
      </c>
      <c r="P131" s="5" t="str">
        <f t="shared" ref="P131" si="55">IF(ISNUMBER(SEARCH("server", C131)), "Server", IF(ISNUMBER(SEARCH("Server", C131)), "Server", IF(ISNUMBER(SEARCH("client", C131)), "Client", IF(ISNUMBER(SEARCH("Client", C131)), "Client", IF(ISNUMBER(SEARCH("US Core Responder", C131)), "Server", IF(ISNUMBER(SEARCH("US Core Requestor", C131)), "Client", ""))))))</f>
        <v>Client</v>
      </c>
      <c r="R131" s="5" t="s">
        <v>442</v>
      </c>
    </row>
    <row r="132" spans="1:22" ht="102" x14ac:dyDescent="0.2">
      <c r="A132" s="2">
        <v>131</v>
      </c>
      <c r="B132" s="30" t="s">
        <v>187</v>
      </c>
      <c r="C132" s="36" t="s">
        <v>193</v>
      </c>
      <c r="D132" s="2" t="s">
        <v>39</v>
      </c>
      <c r="E132" s="2" t="s">
        <v>45</v>
      </c>
      <c r="M132" s="31" t="str" cm="1">
        <f t="array" ref="M132">PAGE_NAME(B132)</f>
        <v>consumer</v>
      </c>
      <c r="N132" s="31" t="str" cm="1">
        <f t="array" ref="N132">SECTION_NAME(B132)</f>
        <v>obtaining-an-authorization-code</v>
      </c>
      <c r="O132" s="5" t="str">
        <f t="shared" ref="O132" si="56">IF(ISNUMBER(SEARCH("MAY", C132)), "MAY", IF(ISNUMBER(SEARCH("SHOULD", C132)), "SHOULD", IF(ISNUMBER(SEARCH("SHALL", C132)), "SHALL", IF(ISNUMBER(SEARCH("SHOULD NOT", C132)), "SHOULD NOT", IF(ISNUMBER(SEARCH("SHALL NOT", C132)), "SHALL NOT", "")))))</f>
        <v>MAY</v>
      </c>
      <c r="P132" s="5" t="str">
        <f t="shared" ref="P132" si="57">IF(ISNUMBER(SEARCH("server", C132)), "Server", IF(ISNUMBER(SEARCH("Server", C132)), "Server", IF(ISNUMBER(SEARCH("client", C132)), "Client", IF(ISNUMBER(SEARCH("Client", C132)), "Client", IF(ISNUMBER(SEARCH("US Core Responder", C132)), "Server", IF(ISNUMBER(SEARCH("US Core Requestor", C132)), "Client", ""))))))</f>
        <v>Client</v>
      </c>
      <c r="R132" s="5" t="s">
        <v>442</v>
      </c>
    </row>
    <row r="133" spans="1:22" ht="102" x14ac:dyDescent="0.2">
      <c r="A133" s="2">
        <v>132</v>
      </c>
      <c r="B133" s="30" t="s">
        <v>187</v>
      </c>
      <c r="C133" s="36" t="s">
        <v>194</v>
      </c>
      <c r="D133" s="2" t="s">
        <v>39</v>
      </c>
      <c r="E133" s="2" t="s">
        <v>54</v>
      </c>
      <c r="M133" s="31" t="str" cm="1">
        <f t="array" ref="M133">PAGE_NAME(B133)</f>
        <v>consumer</v>
      </c>
      <c r="N133" s="31" t="str" cm="1">
        <f t="array" ref="N133">SECTION_NAME(B133)</f>
        <v>obtaining-an-authorization-code</v>
      </c>
      <c r="O133" s="5" t="str">
        <f t="shared" ref="O133" si="58">IF(ISNUMBER(SEARCH("MAY", C133)), "MAY", IF(ISNUMBER(SEARCH("SHOULD", C133)), "SHOULD", IF(ISNUMBER(SEARCH("SHALL", C133)), "SHALL", IF(ISNUMBER(SEARCH("SHOULD NOT", C133)), "SHOULD NOT", IF(ISNUMBER(SEARCH("SHALL NOT", C133)), "SHALL NOT", "")))))</f>
        <v>MAY</v>
      </c>
      <c r="P133" s="5" t="str">
        <f t="shared" ref="P133" si="59">IF(ISNUMBER(SEARCH("server", C133)), "Server", IF(ISNUMBER(SEARCH("Server", C133)), "Server", IF(ISNUMBER(SEARCH("client", C133)), "Client", IF(ISNUMBER(SEARCH("Client", C133)), "Client", IF(ISNUMBER(SEARCH("US Core Responder", C133)), "Server", IF(ISNUMBER(SEARCH("US Core Requestor", C133)), "Client", ""))))))</f>
        <v/>
      </c>
      <c r="R133" s="5" t="s">
        <v>442</v>
      </c>
    </row>
    <row r="134" spans="1:22" ht="68" x14ac:dyDescent="0.2">
      <c r="A134" s="2">
        <v>133</v>
      </c>
      <c r="B134" s="30" t="s">
        <v>187</v>
      </c>
      <c r="C134" s="36" t="s">
        <v>195</v>
      </c>
      <c r="D134" s="2" t="s">
        <v>30</v>
      </c>
      <c r="E134" s="2" t="s">
        <v>45</v>
      </c>
      <c r="F134" s="30" t="s">
        <v>270</v>
      </c>
      <c r="M134" s="31" t="str" cm="1">
        <f t="array" ref="M134">PAGE_NAME(B134)</f>
        <v>consumer</v>
      </c>
      <c r="N134" s="31" t="str" cm="1">
        <f t="array" ref="N134">SECTION_NAME(B134)</f>
        <v>obtaining-an-authorization-code</v>
      </c>
      <c r="O134" s="5" t="str">
        <f t="shared" ref="O134" si="60">IF(ISNUMBER(SEARCH("MAY", C134)), "MAY", IF(ISNUMBER(SEARCH("SHOULD", C134)), "SHOULD", IF(ISNUMBER(SEARCH("SHALL", C134)), "SHALL", IF(ISNUMBER(SEARCH("SHOULD NOT", C134)), "SHOULD NOT", IF(ISNUMBER(SEARCH("SHALL NOT", C134)), "SHALL NOT", "")))))</f>
        <v>SHALL</v>
      </c>
      <c r="P134" s="5" t="str">
        <f t="shared" ref="P134" si="61">IF(ISNUMBER(SEARCH("server", C134)), "Server", IF(ISNUMBER(SEARCH("Server", C134)), "Server", IF(ISNUMBER(SEARCH("client", C134)), "Client", IF(ISNUMBER(SEARCH("Client", C134)), "Client", IF(ISNUMBER(SEARCH("US Core Responder", C134)), "Server", IF(ISNUMBER(SEARCH("US Core Requestor", C134)), "Client", ""))))))</f>
        <v>Server</v>
      </c>
      <c r="R134" s="5" t="s">
        <v>446</v>
      </c>
      <c r="V134" s="5" t="s">
        <v>456</v>
      </c>
    </row>
    <row r="135" spans="1:22" ht="51" x14ac:dyDescent="0.2">
      <c r="A135" s="2">
        <v>134</v>
      </c>
      <c r="B135" s="30" t="s">
        <v>196</v>
      </c>
      <c r="C135" s="36" t="s">
        <v>197</v>
      </c>
      <c r="D135" s="2" t="s">
        <v>30</v>
      </c>
      <c r="E135" s="2" t="s">
        <v>45</v>
      </c>
      <c r="M135" s="31" t="str" cm="1">
        <f t="array" ref="M135">PAGE_NAME(B135)</f>
        <v/>
      </c>
      <c r="N135" s="31" t="str" cm="1">
        <f t="array" ref="N135">SECTION_NAME(B135)</f>
        <v>section-4.1.2</v>
      </c>
      <c r="O135" s="5" t="str">
        <f t="shared" ref="O135" si="62">IF(ISNUMBER(SEARCH("MAY", C135)), "MAY", IF(ISNUMBER(SEARCH("SHOULD", C135)), "SHOULD", IF(ISNUMBER(SEARCH("SHALL", C135)), "SHALL", IF(ISNUMBER(SEARCH("SHOULD NOT", C135)), "SHOULD NOT", IF(ISNUMBER(SEARCH("SHALL NOT", C135)), "SHALL NOT", "")))))</f>
        <v/>
      </c>
      <c r="P135" s="5" t="str">
        <f t="shared" ref="P135" si="63">IF(ISNUMBER(SEARCH("server", C135)), "Server", IF(ISNUMBER(SEARCH("Server", C135)), "Server", IF(ISNUMBER(SEARCH("client", C135)), "Client", IF(ISNUMBER(SEARCH("Client", C135)), "Client", IF(ISNUMBER(SEARCH("US Core Responder", C135)), "Server", IF(ISNUMBER(SEARCH("US Core Requestor", C135)), "Client", ""))))))</f>
        <v/>
      </c>
      <c r="R135" s="5" t="s">
        <v>446</v>
      </c>
      <c r="V135" s="5" t="s">
        <v>457</v>
      </c>
    </row>
    <row r="136" spans="1:22" ht="68" x14ac:dyDescent="0.2">
      <c r="A136" s="2">
        <v>135</v>
      </c>
      <c r="B136" s="30" t="s">
        <v>196</v>
      </c>
      <c r="C136" s="36" t="s">
        <v>198</v>
      </c>
      <c r="D136" s="2" t="s">
        <v>30</v>
      </c>
      <c r="E136" s="2" t="s">
        <v>45</v>
      </c>
      <c r="M136" s="31" t="str" cm="1">
        <f t="array" ref="M136">PAGE_NAME(B136)</f>
        <v/>
      </c>
      <c r="N136" s="31" t="str" cm="1">
        <f t="array" ref="N136">SECTION_NAME(B136)</f>
        <v>section-4.1.2</v>
      </c>
      <c r="O136" s="5" t="str">
        <f t="shared" ref="O136" si="64">IF(ISNUMBER(SEARCH("MAY", C136)), "MAY", IF(ISNUMBER(SEARCH("SHOULD", C136)), "SHOULD", IF(ISNUMBER(SEARCH("SHALL", C136)), "SHALL", IF(ISNUMBER(SEARCH("SHOULD NOT", C136)), "SHOULD NOT", IF(ISNUMBER(SEARCH("SHALL NOT", C136)), "SHALL NOT", "")))))</f>
        <v/>
      </c>
      <c r="P136" s="5" t="str">
        <f t="shared" ref="P136" si="65">IF(ISNUMBER(SEARCH("server", C136)), "Server", IF(ISNUMBER(SEARCH("Server", C136)), "Server", IF(ISNUMBER(SEARCH("client", C136)), "Client", IF(ISNUMBER(SEARCH("Client", C136)), "Client", IF(ISNUMBER(SEARCH("US Core Responder", C136)), "Server", IF(ISNUMBER(SEARCH("US Core Requestor", C136)), "Client", ""))))))</f>
        <v/>
      </c>
      <c r="R136" s="5" t="s">
        <v>446</v>
      </c>
      <c r="V136" s="5" t="s">
        <v>457</v>
      </c>
    </row>
    <row r="137" spans="1:22" ht="51" x14ac:dyDescent="0.2">
      <c r="A137" s="2">
        <v>136</v>
      </c>
      <c r="B137" s="30" t="s">
        <v>196</v>
      </c>
      <c r="C137" s="36" t="s">
        <v>199</v>
      </c>
      <c r="D137" s="2" t="s">
        <v>30</v>
      </c>
      <c r="E137" s="2" t="s">
        <v>54</v>
      </c>
      <c r="M137" s="31" t="str" cm="1">
        <f t="array" ref="M137">PAGE_NAME(B137)</f>
        <v/>
      </c>
      <c r="N137" s="31" t="str" cm="1">
        <f t="array" ref="N137">SECTION_NAME(B137)</f>
        <v>section-4.1.2</v>
      </c>
      <c r="O137" s="5" t="str">
        <f t="shared" ref="O137" si="66">IF(ISNUMBER(SEARCH("MAY", C137)), "MAY", IF(ISNUMBER(SEARCH("SHOULD", C137)), "SHOULD", IF(ISNUMBER(SEARCH("SHALL", C137)), "SHALL", IF(ISNUMBER(SEARCH("SHOULD NOT", C137)), "SHOULD NOT", IF(ISNUMBER(SEARCH("SHALL NOT", C137)), "SHALL NOT", "")))))</f>
        <v/>
      </c>
      <c r="P137" s="5" t="str">
        <f t="shared" ref="P137" si="67">IF(ISNUMBER(SEARCH("server", C137)), "Server", IF(ISNUMBER(SEARCH("Server", C137)), "Server", IF(ISNUMBER(SEARCH("client", C137)), "Client", IF(ISNUMBER(SEARCH("Client", C137)), "Client", IF(ISNUMBER(SEARCH("US Core Responder", C137)), "Server", IF(ISNUMBER(SEARCH("US Core Requestor", C137)), "Client", ""))))))</f>
        <v>Client</v>
      </c>
      <c r="R137" s="5" t="s">
        <v>446</v>
      </c>
      <c r="V137" s="5" t="s">
        <v>457</v>
      </c>
    </row>
    <row r="138" spans="1:22" ht="51" x14ac:dyDescent="0.2">
      <c r="A138" s="2">
        <v>137</v>
      </c>
      <c r="B138" s="30" t="s">
        <v>196</v>
      </c>
      <c r="C138" s="36" t="s">
        <v>200</v>
      </c>
      <c r="D138" s="2" t="s">
        <v>30</v>
      </c>
      <c r="E138" s="2" t="s">
        <v>45</v>
      </c>
      <c r="M138" s="31" t="str" cm="1">
        <f t="array" ref="M138">PAGE_NAME(B138)</f>
        <v/>
      </c>
      <c r="N138" s="31" t="str" cm="1">
        <f t="array" ref="N138">SECTION_NAME(B138)</f>
        <v>section-4.1.2</v>
      </c>
      <c r="O138" s="5" t="str">
        <f t="shared" ref="O138:O139" si="68">IF(ISNUMBER(SEARCH("MAY", C138)), "MAY", IF(ISNUMBER(SEARCH("SHOULD", C138)), "SHOULD", IF(ISNUMBER(SEARCH("SHALL", C138)), "SHALL", IF(ISNUMBER(SEARCH("SHOULD NOT", C138)), "SHOULD NOT", IF(ISNUMBER(SEARCH("SHALL NOT", C138)), "SHALL NOT", "")))))</f>
        <v/>
      </c>
      <c r="P138" s="5" t="str">
        <f t="shared" ref="P138:P139" si="69">IF(ISNUMBER(SEARCH("server", C138)), "Server", IF(ISNUMBER(SEARCH("Server", C138)), "Server", IF(ISNUMBER(SEARCH("client", C138)), "Client", IF(ISNUMBER(SEARCH("Client", C138)), "Client", IF(ISNUMBER(SEARCH("US Core Responder", C138)), "Server", IF(ISNUMBER(SEARCH("US Core Requestor", C138)), "Client", ""))))))</f>
        <v>Server</v>
      </c>
      <c r="R138" s="5" t="s">
        <v>446</v>
      </c>
      <c r="V138" s="5" t="s">
        <v>457</v>
      </c>
    </row>
    <row r="139" spans="1:22" ht="85" x14ac:dyDescent="0.2">
      <c r="A139" s="2">
        <v>138</v>
      </c>
      <c r="B139" s="30" t="s">
        <v>196</v>
      </c>
      <c r="C139" s="36" t="s">
        <v>201</v>
      </c>
      <c r="D139" s="2" t="s">
        <v>30</v>
      </c>
      <c r="E139" s="2" t="s">
        <v>45</v>
      </c>
      <c r="M139" s="31" t="str" cm="1">
        <f t="array" ref="M139">PAGE_NAME(B139)</f>
        <v/>
      </c>
      <c r="N139" s="31" t="str" cm="1">
        <f t="array" ref="N139">SECTION_NAME(B139)</f>
        <v>section-4.1.2</v>
      </c>
      <c r="O139" s="5" t="str">
        <f t="shared" si="68"/>
        <v/>
      </c>
      <c r="P139" s="5" t="str">
        <f t="shared" si="69"/>
        <v>Client</v>
      </c>
      <c r="R139" s="5" t="s">
        <v>446</v>
      </c>
      <c r="V139" s="5" t="s">
        <v>457</v>
      </c>
    </row>
    <row r="140" spans="1:22" ht="51" x14ac:dyDescent="0.2">
      <c r="A140" s="2">
        <v>139</v>
      </c>
      <c r="B140" s="30" t="s">
        <v>196</v>
      </c>
      <c r="C140" s="36" t="s">
        <v>202</v>
      </c>
      <c r="D140" s="2" t="s">
        <v>30</v>
      </c>
      <c r="E140" s="2" t="s">
        <v>54</v>
      </c>
      <c r="M140" s="31" t="str" cm="1">
        <f t="array" ref="M140">PAGE_NAME(B140)</f>
        <v/>
      </c>
      <c r="N140" s="31" t="str" cm="1">
        <f t="array" ref="N140">SECTION_NAME(B140)</f>
        <v>section-4.1.2</v>
      </c>
      <c r="O140" s="5" t="str">
        <f t="shared" ref="O140" si="70">IF(ISNUMBER(SEARCH("MAY", C140)), "MAY", IF(ISNUMBER(SEARCH("SHOULD", C140)), "SHOULD", IF(ISNUMBER(SEARCH("SHALL", C140)), "SHALL", IF(ISNUMBER(SEARCH("SHOULD NOT", C140)), "SHOULD NOT", IF(ISNUMBER(SEARCH("SHALL NOT", C140)), "SHALL NOT", "")))))</f>
        <v/>
      </c>
      <c r="P140" s="5" t="str">
        <f t="shared" ref="P140" si="71">IF(ISNUMBER(SEARCH("server", C140)), "Server", IF(ISNUMBER(SEARCH("Server", C140)), "Server", IF(ISNUMBER(SEARCH("client", C140)), "Client", IF(ISNUMBER(SEARCH("Client", C140)), "Client", IF(ISNUMBER(SEARCH("US Core Responder", C140)), "Server", IF(ISNUMBER(SEARCH("US Core Requestor", C140)), "Client", ""))))))</f>
        <v>Client</v>
      </c>
      <c r="R140" s="5" t="s">
        <v>446</v>
      </c>
      <c r="V140" s="5" t="s">
        <v>457</v>
      </c>
    </row>
    <row r="141" spans="1:22" ht="160" x14ac:dyDescent="0.2">
      <c r="A141" s="2">
        <v>140</v>
      </c>
      <c r="B141" s="30" t="s">
        <v>203</v>
      </c>
      <c r="C141" s="36" t="s">
        <v>204</v>
      </c>
      <c r="D141" s="2" t="s">
        <v>30</v>
      </c>
      <c r="E141" s="2" t="s">
        <v>54</v>
      </c>
      <c r="M141" s="31" t="str" cm="1">
        <f t="array" ref="M141">PAGE_NAME(B141)</f>
        <v>b2b</v>
      </c>
      <c r="N141" s="31" t="str" cm="1">
        <f t="array" ref="N141">SECTION_NAME(B141)</f>
        <v xml:space="preserve">obtaining-an-access-token
</v>
      </c>
      <c r="O141" s="5" t="str">
        <f t="shared" si="48"/>
        <v>SHALL</v>
      </c>
      <c r="P141" s="5" t="str">
        <f t="shared" si="49"/>
        <v>Client</v>
      </c>
      <c r="R141" s="5" t="s">
        <v>446</v>
      </c>
    </row>
    <row r="142" spans="1:22" ht="68" x14ac:dyDescent="0.2">
      <c r="A142" s="2">
        <v>141</v>
      </c>
      <c r="B142" s="30" t="s">
        <v>205</v>
      </c>
      <c r="C142" s="36" t="s">
        <v>206</v>
      </c>
      <c r="D142" s="2" t="s">
        <v>30</v>
      </c>
      <c r="E142" s="2" t="s">
        <v>54</v>
      </c>
      <c r="O142" s="5" t="str">
        <f t="shared" ref="O142:O151" si="72">IF(ISNUMBER(SEARCH("MAY", C142)), "MAY", IF(ISNUMBER(SEARCH("SHOULD", C142)), "SHOULD", IF(ISNUMBER(SEARCH("SHALL", C142)), "SHALL", IF(ISNUMBER(SEARCH("SHOULD NOT", C142)), "SHOULD NOT", IF(ISNUMBER(SEARCH("SHALL NOT", C142)), "SHALL NOT", "")))))</f>
        <v/>
      </c>
      <c r="P142" s="5" t="str">
        <f t="shared" ref="P142:P151" si="73">IF(ISNUMBER(SEARCH("server", C142)), "Server", IF(ISNUMBER(SEARCH("Server", C142)), "Server", IF(ISNUMBER(SEARCH("client", C142)), "Client", IF(ISNUMBER(SEARCH("Client", C142)), "Client", IF(ISNUMBER(SEARCH("US Core Responder", C142)), "Server", IF(ISNUMBER(SEARCH("US Core Requestor", C142)), "Client", ""))))))</f>
        <v>Client</v>
      </c>
      <c r="R142" s="5" t="s">
        <v>446</v>
      </c>
    </row>
    <row r="143" spans="1:22" ht="68" x14ac:dyDescent="0.2">
      <c r="A143" s="2">
        <v>142</v>
      </c>
      <c r="B143" s="30" t="s">
        <v>205</v>
      </c>
      <c r="C143" s="36" t="s">
        <v>207</v>
      </c>
      <c r="D143" s="2" t="s">
        <v>30</v>
      </c>
      <c r="E143" s="2" t="s">
        <v>54</v>
      </c>
      <c r="O143" s="5" t="str">
        <f t="shared" si="72"/>
        <v/>
      </c>
      <c r="P143" s="5" t="str">
        <f t="shared" si="73"/>
        <v>Server</v>
      </c>
      <c r="R143" s="5" t="s">
        <v>446</v>
      </c>
    </row>
    <row r="144" spans="1:22" ht="136" x14ac:dyDescent="0.2">
      <c r="A144" s="2">
        <v>143</v>
      </c>
      <c r="B144" s="30" t="s">
        <v>205</v>
      </c>
      <c r="C144" s="36" t="s">
        <v>208</v>
      </c>
      <c r="D144" s="2" t="s">
        <v>30</v>
      </c>
      <c r="E144" s="2" t="s">
        <v>54</v>
      </c>
      <c r="F144" s="30" t="s">
        <v>266</v>
      </c>
      <c r="O144" s="5" t="str">
        <f t="shared" si="72"/>
        <v/>
      </c>
      <c r="P144" s="5" t="str">
        <f t="shared" si="73"/>
        <v>Client</v>
      </c>
      <c r="R144" s="5" t="s">
        <v>446</v>
      </c>
    </row>
    <row r="145" spans="1:18" ht="119" x14ac:dyDescent="0.2">
      <c r="A145" s="2">
        <v>144</v>
      </c>
      <c r="B145" s="30" t="s">
        <v>205</v>
      </c>
      <c r="C145" s="36" t="s">
        <v>209</v>
      </c>
      <c r="D145" s="2" t="s">
        <v>30</v>
      </c>
      <c r="E145" s="2" t="s">
        <v>54</v>
      </c>
      <c r="O145" s="5" t="str">
        <f t="shared" si="72"/>
        <v/>
      </c>
      <c r="P145" s="5" t="str">
        <f t="shared" si="73"/>
        <v>Server</v>
      </c>
      <c r="R145" s="5" t="s">
        <v>446</v>
      </c>
    </row>
    <row r="146" spans="1:18" ht="119" x14ac:dyDescent="0.2">
      <c r="A146" s="2">
        <v>145</v>
      </c>
      <c r="B146" s="30" t="s">
        <v>205</v>
      </c>
      <c r="C146" s="36" t="s">
        <v>210</v>
      </c>
      <c r="D146" s="2" t="s">
        <v>30</v>
      </c>
      <c r="E146" s="2" t="s">
        <v>54</v>
      </c>
      <c r="O146" s="5" t="str">
        <f t="shared" si="72"/>
        <v/>
      </c>
      <c r="P146" s="5" t="str">
        <f t="shared" si="73"/>
        <v>Server</v>
      </c>
      <c r="R146" s="5" t="s">
        <v>446</v>
      </c>
    </row>
    <row r="147" spans="1:18" ht="85" x14ac:dyDescent="0.2">
      <c r="A147" s="2">
        <v>146</v>
      </c>
      <c r="B147" s="30" t="s">
        <v>205</v>
      </c>
      <c r="C147" s="36" t="s">
        <v>211</v>
      </c>
      <c r="D147" s="2" t="s">
        <v>30</v>
      </c>
      <c r="E147" s="2" t="s">
        <v>45</v>
      </c>
      <c r="O147" s="5" t="str">
        <f t="shared" si="72"/>
        <v/>
      </c>
      <c r="P147" s="5" t="str">
        <f t="shared" si="73"/>
        <v>Server</v>
      </c>
      <c r="R147" s="5" t="s">
        <v>446</v>
      </c>
    </row>
    <row r="148" spans="1:18" ht="51" x14ac:dyDescent="0.2">
      <c r="A148" s="2">
        <v>147</v>
      </c>
      <c r="B148" s="30" t="s">
        <v>205</v>
      </c>
      <c r="C148" s="36" t="s">
        <v>212</v>
      </c>
      <c r="D148" s="2" t="s">
        <v>30</v>
      </c>
      <c r="E148" s="2" t="s">
        <v>45</v>
      </c>
      <c r="O148" s="5" t="str">
        <f t="shared" si="72"/>
        <v/>
      </c>
      <c r="P148" s="5" t="str">
        <f t="shared" si="73"/>
        <v>Server</v>
      </c>
      <c r="R148" s="5" t="s">
        <v>446</v>
      </c>
    </row>
    <row r="149" spans="1:18" ht="102" x14ac:dyDescent="0.2">
      <c r="A149" s="2">
        <v>148</v>
      </c>
      <c r="B149" s="30" t="s">
        <v>205</v>
      </c>
      <c r="C149" s="36" t="s">
        <v>213</v>
      </c>
      <c r="D149" s="2" t="s">
        <v>30</v>
      </c>
      <c r="E149" s="2" t="s">
        <v>45</v>
      </c>
      <c r="O149" s="5" t="str">
        <f t="shared" si="72"/>
        <v/>
      </c>
      <c r="P149" s="5" t="str">
        <f t="shared" si="73"/>
        <v>Server</v>
      </c>
      <c r="R149" s="5" t="s">
        <v>446</v>
      </c>
    </row>
    <row r="150" spans="1:18" ht="51" x14ac:dyDescent="0.2">
      <c r="A150" s="2">
        <v>149</v>
      </c>
      <c r="B150" s="30" t="s">
        <v>205</v>
      </c>
      <c r="C150" s="36" t="s">
        <v>214</v>
      </c>
      <c r="D150" s="2" t="s">
        <v>30</v>
      </c>
      <c r="E150" s="2" t="s">
        <v>45</v>
      </c>
      <c r="O150" s="5" t="str">
        <f t="shared" si="72"/>
        <v/>
      </c>
      <c r="P150" s="5" t="str">
        <f t="shared" si="73"/>
        <v>Server</v>
      </c>
      <c r="R150" s="5" t="s">
        <v>446</v>
      </c>
    </row>
    <row r="151" spans="1:18" ht="153" x14ac:dyDescent="0.2">
      <c r="A151" s="2">
        <v>150</v>
      </c>
      <c r="B151" s="30" t="s">
        <v>205</v>
      </c>
      <c r="C151" s="36" t="s">
        <v>215</v>
      </c>
      <c r="D151" s="2" t="s">
        <v>30</v>
      </c>
      <c r="E151" s="2" t="s">
        <v>45</v>
      </c>
      <c r="O151" s="5" t="str">
        <f t="shared" si="72"/>
        <v/>
      </c>
      <c r="P151" s="5" t="str">
        <f t="shared" si="73"/>
        <v>Server</v>
      </c>
      <c r="R151" s="5" t="s">
        <v>446</v>
      </c>
    </row>
    <row r="152" spans="1:18" ht="153" x14ac:dyDescent="0.2">
      <c r="A152" s="2">
        <v>151</v>
      </c>
      <c r="B152" s="30" t="s">
        <v>216</v>
      </c>
      <c r="C152" s="36" t="s">
        <v>217</v>
      </c>
      <c r="D152" s="2" t="s">
        <v>30</v>
      </c>
      <c r="E152" s="2" t="s">
        <v>54</v>
      </c>
      <c r="M152" s="31" t="str" cm="1">
        <f t="array" ref="M152">PAGE_NAME(B152)</f>
        <v>consumer</v>
      </c>
      <c r="N152" s="31" t="str" cm="1">
        <f t="array" ref="N152">SECTION_NAME(B152)</f>
        <v>constructing-authentication-token</v>
      </c>
      <c r="O152" s="5" t="str">
        <f t="shared" si="48"/>
        <v>SHALL</v>
      </c>
      <c r="P152" s="5" t="str">
        <f t="shared" si="49"/>
        <v>Client</v>
      </c>
      <c r="R152" s="5" t="s">
        <v>442</v>
      </c>
    </row>
    <row r="153" spans="1:18" ht="64" x14ac:dyDescent="0.2">
      <c r="A153" s="2">
        <v>152</v>
      </c>
      <c r="B153" s="30" t="s">
        <v>216</v>
      </c>
      <c r="C153" s="36" t="s">
        <v>218</v>
      </c>
      <c r="D153" s="2" t="s">
        <v>30</v>
      </c>
      <c r="E153" s="2" t="s">
        <v>54</v>
      </c>
      <c r="M153" s="31" t="str" cm="1">
        <f t="array" ref="M153">PAGE_NAME(B153)</f>
        <v>consumer</v>
      </c>
      <c r="N153" s="31" t="str" cm="1">
        <f t="array" ref="N153">SECTION_NAME(B153)</f>
        <v>constructing-authentication-token</v>
      </c>
      <c r="O153" s="5" t="str">
        <f>IF(ISNUMBER(SEARCH("MAY", C153)), "MAY", IF(ISNUMBER(SEARCH("SHOULD", C153)), "SHOULD", IF(ISNUMBER(SEARCH("SHALL", C153)), "SHALL", IF(ISNUMBER(SEARCH("SHOULD NOT", C153)), "SHOULD NOT", IF(ISNUMBER(SEARCH("SHALL NOT", C153)), "SHALL NOT", "")))))</f>
        <v>SHALL</v>
      </c>
      <c r="P153" s="5" t="str">
        <f>IF(ISNUMBER(SEARCH("server", C153)), "Server", IF(ISNUMBER(SEARCH("Server", C153)), "Server", IF(ISNUMBER(SEARCH("client", C153)), "Client", IF(ISNUMBER(SEARCH("Client", C153)), "Client", IF(ISNUMBER(SEARCH("US Core Responder", C153)), "Server", IF(ISNUMBER(SEARCH("US Core Requestor", C153)), "Client", ""))))))</f>
        <v>Client</v>
      </c>
      <c r="R153" s="5" t="s">
        <v>442</v>
      </c>
    </row>
    <row r="154" spans="1:18" ht="102" x14ac:dyDescent="0.2">
      <c r="A154" s="2">
        <v>153</v>
      </c>
      <c r="B154" s="30" t="s">
        <v>216</v>
      </c>
      <c r="C154" s="36" t="s">
        <v>219</v>
      </c>
      <c r="D154" s="2" t="s">
        <v>30</v>
      </c>
      <c r="E154" s="2" t="s">
        <v>54</v>
      </c>
      <c r="M154" s="31" t="str" cm="1">
        <f t="array" ref="M154">PAGE_NAME(B154)</f>
        <v>consumer</v>
      </c>
      <c r="N154" s="31" t="str" cm="1">
        <f t="array" ref="N154">SECTION_NAME(B154)</f>
        <v>constructing-authentication-token</v>
      </c>
      <c r="O154" s="5" t="str">
        <f t="shared" ref="O154" si="74">IF(ISNUMBER(SEARCH("MAY", C154)), "MAY", IF(ISNUMBER(SEARCH("SHOULD", C154)), "SHOULD", IF(ISNUMBER(SEARCH("SHALL", C154)), "SHALL", IF(ISNUMBER(SEARCH("SHOULD NOT", C154)), "SHOULD NOT", IF(ISNUMBER(SEARCH("SHALL NOT", C154)), "SHALL NOT", "")))))</f>
        <v/>
      </c>
      <c r="P154" s="5" t="str">
        <f t="shared" ref="P154" si="75">IF(ISNUMBER(SEARCH("server", C154)), "Server", IF(ISNUMBER(SEARCH("Server", C154)), "Server", IF(ISNUMBER(SEARCH("client", C154)), "Client", IF(ISNUMBER(SEARCH("Client", C154)), "Client", IF(ISNUMBER(SEARCH("US Core Responder", C154)), "Server", IF(ISNUMBER(SEARCH("US Core Requestor", C154)), "Client", ""))))))</f>
        <v>Server</v>
      </c>
      <c r="R154" s="5" t="s">
        <v>442</v>
      </c>
    </row>
    <row r="155" spans="1:18" ht="102" x14ac:dyDescent="0.2">
      <c r="A155" s="2">
        <v>154</v>
      </c>
      <c r="B155" s="30" t="s">
        <v>216</v>
      </c>
      <c r="C155" s="36" t="s">
        <v>220</v>
      </c>
      <c r="D155" s="2" t="s">
        <v>30</v>
      </c>
      <c r="E155" s="2" t="s">
        <v>54</v>
      </c>
      <c r="M155" s="31" t="str" cm="1">
        <f t="array" ref="M155">PAGE_NAME(B155)</f>
        <v>consumer</v>
      </c>
      <c r="N155" s="31" t="str" cm="1">
        <f t="array" ref="N155">SECTION_NAME(B155)</f>
        <v>constructing-authentication-token</v>
      </c>
      <c r="O155" s="5" t="str">
        <f t="shared" ref="O155:O158" si="76">IF(ISNUMBER(SEARCH("MAY", C155)), "MAY", IF(ISNUMBER(SEARCH("SHOULD", C155)), "SHOULD", IF(ISNUMBER(SEARCH("SHALL", C155)), "SHALL", IF(ISNUMBER(SEARCH("SHOULD NOT", C155)), "SHOULD NOT", IF(ISNUMBER(SEARCH("SHALL NOT", C155)), "SHALL NOT", "")))))</f>
        <v/>
      </c>
      <c r="P155" s="5" t="str">
        <f t="shared" ref="P155:P158" si="77">IF(ISNUMBER(SEARCH("server", C155)), "Server", IF(ISNUMBER(SEARCH("Server", C155)), "Server", IF(ISNUMBER(SEARCH("client", C155)), "Client", IF(ISNUMBER(SEARCH("Client", C155)), "Client", IF(ISNUMBER(SEARCH("US Core Responder", C155)), "Server", IF(ISNUMBER(SEARCH("US Core Requestor", C155)), "Client", ""))))))</f>
        <v>Server</v>
      </c>
      <c r="R155" s="5" t="s">
        <v>442</v>
      </c>
    </row>
    <row r="156" spans="1:18" ht="85" x14ac:dyDescent="0.2">
      <c r="A156" s="2">
        <v>155</v>
      </c>
      <c r="B156" s="30" t="s">
        <v>216</v>
      </c>
      <c r="C156" s="36" t="s">
        <v>221</v>
      </c>
      <c r="D156" s="2" t="s">
        <v>30</v>
      </c>
      <c r="E156" s="2" t="s">
        <v>54</v>
      </c>
      <c r="M156" s="31" t="str" cm="1">
        <f t="array" ref="M156">PAGE_NAME(B156)</f>
        <v>consumer</v>
      </c>
      <c r="N156" s="31" t="str" cm="1">
        <f t="array" ref="N156">SECTION_NAME(B156)</f>
        <v>constructing-authentication-token</v>
      </c>
      <c r="O156" s="5" t="str">
        <f t="shared" si="76"/>
        <v/>
      </c>
      <c r="P156" s="5" t="str">
        <f t="shared" si="77"/>
        <v>Server</v>
      </c>
      <c r="R156" s="5" t="s">
        <v>442</v>
      </c>
    </row>
    <row r="157" spans="1:18" ht="102" x14ac:dyDescent="0.2">
      <c r="A157" s="2">
        <v>156</v>
      </c>
      <c r="B157" s="30" t="s">
        <v>216</v>
      </c>
      <c r="C157" s="36" t="s">
        <v>222</v>
      </c>
      <c r="D157" s="2" t="s">
        <v>30</v>
      </c>
      <c r="E157" s="2" t="s">
        <v>54</v>
      </c>
      <c r="M157" s="31" t="str" cm="1">
        <f t="array" ref="M157">PAGE_NAME(B157)</f>
        <v>consumer</v>
      </c>
      <c r="N157" s="31" t="str" cm="1">
        <f t="array" ref="N157">SECTION_NAME(B157)</f>
        <v>constructing-authentication-token</v>
      </c>
      <c r="O157" s="5" t="str">
        <f t="shared" si="76"/>
        <v/>
      </c>
      <c r="P157" s="5" t="str">
        <f t="shared" si="77"/>
        <v>Client</v>
      </c>
      <c r="R157" s="5" t="s">
        <v>442</v>
      </c>
    </row>
    <row r="158" spans="1:18" ht="102" x14ac:dyDescent="0.2">
      <c r="A158" s="2">
        <v>157</v>
      </c>
      <c r="B158" s="30" t="s">
        <v>216</v>
      </c>
      <c r="C158" s="36" t="s">
        <v>223</v>
      </c>
      <c r="D158" s="2" t="s">
        <v>30</v>
      </c>
      <c r="E158" s="2" t="s">
        <v>54</v>
      </c>
      <c r="M158" s="31" t="str" cm="1">
        <f t="array" ref="M158">PAGE_NAME(B158)</f>
        <v>consumer</v>
      </c>
      <c r="N158" s="31" t="str" cm="1">
        <f t="array" ref="N158">SECTION_NAME(B158)</f>
        <v>constructing-authentication-token</v>
      </c>
      <c r="O158" s="5" t="str">
        <f t="shared" si="76"/>
        <v/>
      </c>
      <c r="P158" s="5" t="str">
        <f t="shared" si="77"/>
        <v>Client</v>
      </c>
      <c r="R158" s="5" t="s">
        <v>442</v>
      </c>
    </row>
    <row r="159" spans="1:18" ht="85" x14ac:dyDescent="0.2">
      <c r="A159" s="2">
        <v>158</v>
      </c>
      <c r="B159" s="30" t="s">
        <v>216</v>
      </c>
      <c r="C159" s="36" t="s">
        <v>224</v>
      </c>
      <c r="D159" s="2" t="s">
        <v>30</v>
      </c>
      <c r="E159" s="2" t="s">
        <v>54</v>
      </c>
      <c r="M159" s="31" t="str" cm="1">
        <f t="array" ref="M159">PAGE_NAME(B159)</f>
        <v>consumer</v>
      </c>
      <c r="N159" s="31" t="str" cm="1">
        <f t="array" ref="N159">SECTION_NAME(B159)</f>
        <v>constructing-authentication-token</v>
      </c>
      <c r="O159" s="5" t="str">
        <f t="shared" ref="O159" si="78">IF(ISNUMBER(SEARCH("MAY", C159)), "MAY", IF(ISNUMBER(SEARCH("SHOULD", C159)), "SHOULD", IF(ISNUMBER(SEARCH("SHALL", C159)), "SHALL", IF(ISNUMBER(SEARCH("SHOULD NOT", C159)), "SHOULD NOT", IF(ISNUMBER(SEARCH("SHALL NOT", C159)), "SHALL NOT", "")))))</f>
        <v/>
      </c>
      <c r="P159" s="5" t="str">
        <f t="shared" ref="P159" si="79">IF(ISNUMBER(SEARCH("server", C159)), "Server", IF(ISNUMBER(SEARCH("Server", C159)), "Server", IF(ISNUMBER(SEARCH("client", C159)), "Client", IF(ISNUMBER(SEARCH("Client", C159)), "Client", IF(ISNUMBER(SEARCH("US Core Responder", C159)), "Server", IF(ISNUMBER(SEARCH("US Core Requestor", C159)), "Client", ""))))))</f>
        <v>Client</v>
      </c>
      <c r="R159" s="5" t="s">
        <v>442</v>
      </c>
    </row>
    <row r="160" spans="1:18" ht="102" x14ac:dyDescent="0.2">
      <c r="A160" s="2">
        <v>159</v>
      </c>
      <c r="B160" s="30" t="s">
        <v>216</v>
      </c>
      <c r="C160" s="36" t="s">
        <v>225</v>
      </c>
      <c r="D160" s="2" t="s">
        <v>30</v>
      </c>
      <c r="E160" s="2" t="s">
        <v>54</v>
      </c>
      <c r="M160" s="31" t="str" cm="1">
        <f t="array" ref="M160">PAGE_NAME(B160)</f>
        <v>consumer</v>
      </c>
      <c r="N160" s="31" t="str" cm="1">
        <f t="array" ref="N160">SECTION_NAME(B160)</f>
        <v>constructing-authentication-token</v>
      </c>
      <c r="O160" s="5" t="str">
        <f>IF(ISNUMBER(SEARCH("MAY", C160)), "MAY", IF(ISNUMBER(SEARCH("SHOULD", C160)), "SHOULD", IF(ISNUMBER(SEARCH("SHALL", C160)), "SHALL", IF(ISNUMBER(SEARCH("SHOULD NOT", C160)), "SHOULD NOT", IF(ISNUMBER(SEARCH("SHALL NOT", C160)), "SHALL NOT", "")))))</f>
        <v>SHALL</v>
      </c>
      <c r="P160" s="5" t="str">
        <f>IF(ISNUMBER(SEARCH("server", C160)), "Server", IF(ISNUMBER(SEARCH("Server", C160)), "Server", IF(ISNUMBER(SEARCH("client", C160)), "Client", IF(ISNUMBER(SEARCH("Client", C160)), "Client", IF(ISNUMBER(SEARCH("US Core Responder", C160)), "Server", IF(ISNUMBER(SEARCH("US Core Requestor", C160)), "Client", ""))))))</f>
        <v>Client</v>
      </c>
      <c r="R160" s="5" t="s">
        <v>442</v>
      </c>
    </row>
    <row r="161" spans="1:22" ht="220.75" customHeight="1" x14ac:dyDescent="0.2">
      <c r="A161" s="2">
        <v>160</v>
      </c>
      <c r="B161" s="30" t="s">
        <v>226</v>
      </c>
      <c r="C161" s="36" t="s">
        <v>227</v>
      </c>
      <c r="D161" s="2" t="s">
        <v>30</v>
      </c>
      <c r="E161" s="2" t="s">
        <v>54</v>
      </c>
      <c r="M161" s="31" t="str" cm="1">
        <f t="array" ref="M161">PAGE_NAME(B161)</f>
        <v>b2b</v>
      </c>
      <c r="N161" s="31" t="str" cm="1">
        <f t="array" ref="N161">SECTION_NAME(B161)</f>
        <v>constructing-authentication-token</v>
      </c>
      <c r="O161" s="5" t="str">
        <f t="shared" ref="O161" si="80">IF(ISNUMBER(SEARCH("MAY", C161)), "MAY", IF(ISNUMBER(SEARCH("SHOULD", C161)), "SHOULD", IF(ISNUMBER(SEARCH("SHALL", C161)), "SHALL", IF(ISNUMBER(SEARCH("SHOULD NOT", C161)), "SHOULD NOT", IF(ISNUMBER(SEARCH("SHALL NOT", C161)), "SHALL NOT", "")))))</f>
        <v>SHALL</v>
      </c>
      <c r="P161" s="5" t="str">
        <f t="shared" ref="P161" si="81">IF(ISNUMBER(SEARCH("server", C161)), "Server", IF(ISNUMBER(SEARCH("Server", C161)), "Server", IF(ISNUMBER(SEARCH("client", C161)), "Client", IF(ISNUMBER(SEARCH("Client", C161)), "Client", IF(ISNUMBER(SEARCH("US Core Responder", C161)), "Server", IF(ISNUMBER(SEARCH("US Core Requestor", C161)), "Client", ""))))))</f>
        <v/>
      </c>
      <c r="R161" s="5" t="s">
        <v>446</v>
      </c>
    </row>
    <row r="162" spans="1:22" ht="131.5" customHeight="1" x14ac:dyDescent="0.2">
      <c r="A162" s="2">
        <v>161</v>
      </c>
      <c r="B162" s="30" t="s">
        <v>228</v>
      </c>
      <c r="C162" s="36" t="s">
        <v>229</v>
      </c>
      <c r="D162" s="2" t="s">
        <v>30</v>
      </c>
      <c r="E162" s="2" t="s">
        <v>54</v>
      </c>
      <c r="M162" s="31" t="str" cm="1">
        <f t="array" ref="M162">PAGE_NAME(B162)</f>
        <v>b2b</v>
      </c>
      <c r="N162" s="31" t="str" cm="1">
        <f t="array" ref="N162">SECTION_NAME(B162)</f>
        <v>constructing-authentication-token</v>
      </c>
      <c r="O162" s="5" t="str">
        <f t="shared" ref="O162" si="82">IF(ISNUMBER(SEARCH("MAY", C162)), "MAY", IF(ISNUMBER(SEARCH("SHOULD", C162)), "SHOULD", IF(ISNUMBER(SEARCH("SHALL", C162)), "SHALL", IF(ISNUMBER(SEARCH("SHOULD NOT", C162)), "SHOULD NOT", IF(ISNUMBER(SEARCH("SHALL NOT", C162)), "SHALL NOT", "")))))</f>
        <v>SHALL</v>
      </c>
      <c r="P162" s="5" t="str">
        <f t="shared" ref="P162" si="83">IF(ISNUMBER(SEARCH("server", C162)), "Server", IF(ISNUMBER(SEARCH("Server", C162)), "Server", IF(ISNUMBER(SEARCH("client", C162)), "Client", IF(ISNUMBER(SEARCH("Client", C162)), "Client", IF(ISNUMBER(SEARCH("US Core Responder", C162)), "Server", IF(ISNUMBER(SEARCH("US Core Requestor", C162)), "Client", ""))))))</f>
        <v/>
      </c>
      <c r="R162" s="5" t="s">
        <v>446</v>
      </c>
    </row>
    <row r="163" spans="1:22" ht="85" x14ac:dyDescent="0.2">
      <c r="A163" s="2">
        <v>162</v>
      </c>
      <c r="B163" s="30" t="s">
        <v>230</v>
      </c>
      <c r="C163" s="36" t="s">
        <v>231</v>
      </c>
      <c r="D163" s="2" t="s">
        <v>30</v>
      </c>
      <c r="E163" s="2" t="s">
        <v>54</v>
      </c>
      <c r="F163" s="30" t="s">
        <v>232</v>
      </c>
      <c r="M163" s="31" t="str" cm="1">
        <f t="array" ref="M163">PAGE_NAME(B163)</f>
        <v>consumer</v>
      </c>
      <c r="N163" s="31" t="str" cm="1">
        <f t="array" ref="N163">SECTION_NAME(B163)</f>
        <v>submitting-a-token-request</v>
      </c>
      <c r="O163" s="5" t="str">
        <f t="shared" si="48"/>
        <v>SHALL</v>
      </c>
      <c r="P163" s="5" t="str">
        <f t="shared" si="49"/>
        <v>Server</v>
      </c>
      <c r="R163" s="5" t="s">
        <v>442</v>
      </c>
    </row>
    <row r="164" spans="1:22" ht="153" x14ac:dyDescent="0.2">
      <c r="A164" s="2">
        <v>163</v>
      </c>
      <c r="B164" s="30" t="s">
        <v>230</v>
      </c>
      <c r="C164" s="36" t="s">
        <v>233</v>
      </c>
      <c r="D164" s="2" t="s">
        <v>30</v>
      </c>
      <c r="E164" s="2" t="s">
        <v>54</v>
      </c>
      <c r="M164" s="31" t="str" cm="1">
        <f t="array" ref="M164">PAGE_NAME(B164)</f>
        <v>consumer</v>
      </c>
      <c r="N164" s="31" t="str" cm="1">
        <f t="array" ref="N164">SECTION_NAME(B164)</f>
        <v>submitting-a-token-request</v>
      </c>
      <c r="O164" s="5" t="str">
        <f t="shared" ref="O164" si="84">IF(ISNUMBER(SEARCH("MAY", C164)), "MAY", IF(ISNUMBER(SEARCH("SHOULD", C164)), "SHOULD", IF(ISNUMBER(SEARCH("SHALL", C164)), "SHALL", IF(ISNUMBER(SEARCH("SHOULD NOT", C164)), "SHOULD NOT", IF(ISNUMBER(SEARCH("SHALL NOT", C164)), "SHALL NOT", "")))))</f>
        <v>SHALL</v>
      </c>
      <c r="P164" s="5" t="str">
        <f t="shared" ref="P164" si="85">IF(ISNUMBER(SEARCH("server", C164)), "Server", IF(ISNUMBER(SEARCH("Server", C164)), "Server", IF(ISNUMBER(SEARCH("client", C164)), "Client", IF(ISNUMBER(SEARCH("Client", C164)), "Client", IF(ISNUMBER(SEARCH("US Core Responder", C164)), "Server", IF(ISNUMBER(SEARCH("US Core Requestor", C164)), "Client", ""))))))</f>
        <v>Server</v>
      </c>
      <c r="R164" s="5" t="s">
        <v>442</v>
      </c>
    </row>
    <row r="165" spans="1:22" ht="125.5" customHeight="1" x14ac:dyDescent="0.2">
      <c r="A165" s="2">
        <v>164</v>
      </c>
      <c r="B165" s="30" t="s">
        <v>234</v>
      </c>
      <c r="C165" s="36" t="s">
        <v>235</v>
      </c>
      <c r="D165" s="2" t="s">
        <v>236</v>
      </c>
      <c r="E165" s="2" t="s">
        <v>54</v>
      </c>
      <c r="M165" s="31" t="str" cm="1">
        <f t="array" ref="M165">PAGE_NAME(B165)</f>
        <v>b2b</v>
      </c>
      <c r="N165" s="31" t="str" cm="1">
        <f t="array" ref="N165">SECTION_NAME(B165)</f>
        <v>submitting-a-token-request</v>
      </c>
      <c r="O165" s="5" t="str">
        <f t="shared" ref="O165" si="86">IF(ISNUMBER(SEARCH("MAY", C165)), "MAY", IF(ISNUMBER(SEARCH("SHOULD", C165)), "SHOULD", IF(ISNUMBER(SEARCH("SHALL", C165)), "SHALL", IF(ISNUMBER(SEARCH("SHOULD NOT", C165)), "SHOULD NOT", IF(ISNUMBER(SEARCH("SHALL NOT", C165)), "SHALL NOT", "")))))</f>
        <v>SHALL</v>
      </c>
      <c r="P165" s="5" t="str">
        <f t="shared" ref="P165" si="87">IF(ISNUMBER(SEARCH("server", C165)), "Server", IF(ISNUMBER(SEARCH("Server", C165)), "Server", IF(ISNUMBER(SEARCH("client", C165)), "Client", IF(ISNUMBER(SEARCH("Client", C165)), "Client", IF(ISNUMBER(SEARCH("US Core Responder", C165)), "Server", IF(ISNUMBER(SEARCH("US Core Requestor", C165)), "Client", ""))))))</f>
        <v>Client</v>
      </c>
      <c r="R165" s="5" t="s">
        <v>446</v>
      </c>
    </row>
    <row r="166" spans="1:22" ht="133.25" customHeight="1" x14ac:dyDescent="0.2">
      <c r="A166" s="2">
        <v>165</v>
      </c>
      <c r="B166" s="30" t="s">
        <v>234</v>
      </c>
      <c r="C166" s="36" t="s">
        <v>237</v>
      </c>
      <c r="D166" s="2" t="s">
        <v>30</v>
      </c>
      <c r="E166" s="2" t="s">
        <v>54</v>
      </c>
      <c r="M166" s="31" t="str" cm="1">
        <f t="array" ref="M166">PAGE_NAME(B166)</f>
        <v>b2b</v>
      </c>
      <c r="N166" s="31" t="str" cm="1">
        <f t="array" ref="N166">SECTION_NAME(B166)</f>
        <v>submitting-a-token-request</v>
      </c>
      <c r="O166" s="5" t="str">
        <f t="shared" ref="O166" si="88">IF(ISNUMBER(SEARCH("MAY", C166)), "MAY", IF(ISNUMBER(SEARCH("SHOULD", C166)), "SHOULD", IF(ISNUMBER(SEARCH("SHALL", C166)), "SHALL", IF(ISNUMBER(SEARCH("SHOULD NOT", C166)), "SHOULD NOT", IF(ISNUMBER(SEARCH("SHALL NOT", C166)), "SHALL NOT", "")))))</f>
        <v>SHALL</v>
      </c>
      <c r="P166" s="5" t="str">
        <f t="shared" ref="P166" si="89">IF(ISNUMBER(SEARCH("server", C166)), "Server", IF(ISNUMBER(SEARCH("Server", C166)), "Server", IF(ISNUMBER(SEARCH("client", C166)), "Client", IF(ISNUMBER(SEARCH("Client", C166)), "Client", IF(ISNUMBER(SEARCH("US Core Responder", C166)), "Server", IF(ISNUMBER(SEARCH("US Core Requestor", C166)), "Client", ""))))))</f>
        <v/>
      </c>
      <c r="R166" s="5" t="s">
        <v>446</v>
      </c>
    </row>
    <row r="167" spans="1:22" ht="119.5" customHeight="1" x14ac:dyDescent="0.2">
      <c r="A167" s="2">
        <v>166</v>
      </c>
      <c r="B167" s="30" t="s">
        <v>234</v>
      </c>
      <c r="C167" s="36" t="s">
        <v>238</v>
      </c>
      <c r="D167" s="2" t="s">
        <v>30</v>
      </c>
      <c r="E167" s="2" t="s">
        <v>54</v>
      </c>
      <c r="M167" s="31" t="str" cm="1">
        <f t="array" ref="M167">PAGE_NAME(B167)</f>
        <v>b2b</v>
      </c>
      <c r="N167" s="31" t="str" cm="1">
        <f t="array" ref="N167">SECTION_NAME(B167)</f>
        <v>submitting-a-token-request</v>
      </c>
      <c r="O167" s="5" t="str">
        <f t="shared" ref="O167" si="90">IF(ISNUMBER(SEARCH("MAY", C167)), "MAY", IF(ISNUMBER(SEARCH("SHOULD", C167)), "SHOULD", IF(ISNUMBER(SEARCH("SHALL", C167)), "SHALL", IF(ISNUMBER(SEARCH("SHOULD NOT", C167)), "SHOULD NOT", IF(ISNUMBER(SEARCH("SHALL NOT", C167)), "SHALL NOT", "")))))</f>
        <v>SHALL</v>
      </c>
      <c r="P167" s="5" t="str">
        <f t="shared" ref="P167" si="91">IF(ISNUMBER(SEARCH("server", C167)), "Server", IF(ISNUMBER(SEARCH("Server", C167)), "Server", IF(ISNUMBER(SEARCH("client", C167)), "Client", IF(ISNUMBER(SEARCH("Client", C167)), "Client", IF(ISNUMBER(SEARCH("US Core Responder", C167)), "Server", IF(ISNUMBER(SEARCH("US Core Requestor", C167)), "Client", ""))))))</f>
        <v>Server</v>
      </c>
      <c r="R167" s="5" t="s">
        <v>446</v>
      </c>
    </row>
    <row r="168" spans="1:22" ht="128" x14ac:dyDescent="0.2">
      <c r="A168" s="2">
        <v>167</v>
      </c>
      <c r="B168" s="30" t="s">
        <v>234</v>
      </c>
      <c r="C168" s="36" t="s">
        <v>239</v>
      </c>
      <c r="D168" s="2" t="s">
        <v>30</v>
      </c>
      <c r="E168" s="2" t="s">
        <v>54</v>
      </c>
      <c r="M168" s="31" t="str" cm="1">
        <f t="array" ref="M168">PAGE_NAME(B168)</f>
        <v>b2b</v>
      </c>
      <c r="N168" s="31" t="str" cm="1">
        <f t="array" ref="N168">SECTION_NAME(B168)</f>
        <v>submitting-a-token-request</v>
      </c>
      <c r="O168" s="5" t="str">
        <f t="shared" ref="O168" si="92">IF(ISNUMBER(SEARCH("MAY", C168)), "MAY", IF(ISNUMBER(SEARCH("SHOULD", C168)), "SHOULD", IF(ISNUMBER(SEARCH("SHALL", C168)), "SHALL", IF(ISNUMBER(SEARCH("SHOULD NOT", C168)), "SHOULD NOT", IF(ISNUMBER(SEARCH("SHALL NOT", C168)), "SHALL NOT", "")))))</f>
        <v>SHALL</v>
      </c>
      <c r="P168" s="5" t="str">
        <f t="shared" ref="P168" si="93">IF(ISNUMBER(SEARCH("server", C168)), "Server", IF(ISNUMBER(SEARCH("Server", C168)), "Server", IF(ISNUMBER(SEARCH("client", C168)), "Client", IF(ISNUMBER(SEARCH("Client", C168)), "Client", IF(ISNUMBER(SEARCH("US Core Responder", C168)), "Server", IF(ISNUMBER(SEARCH("US Core Requestor", C168)), "Client", ""))))))</f>
        <v/>
      </c>
      <c r="R168" s="5" t="s">
        <v>446</v>
      </c>
    </row>
    <row r="169" spans="1:22" ht="128" x14ac:dyDescent="0.2">
      <c r="A169" s="2">
        <v>168</v>
      </c>
      <c r="B169" s="30" t="s">
        <v>234</v>
      </c>
      <c r="C169" s="36" t="s">
        <v>240</v>
      </c>
      <c r="D169" s="2" t="s">
        <v>30</v>
      </c>
      <c r="E169" s="2" t="s">
        <v>54</v>
      </c>
      <c r="M169" s="31" t="str" cm="1">
        <f t="array" ref="M169">PAGE_NAME(B169)</f>
        <v>b2b</v>
      </c>
      <c r="N169" s="31" t="str" cm="1">
        <f t="array" ref="N169">SECTION_NAME(B169)</f>
        <v>submitting-a-token-request</v>
      </c>
      <c r="O169" s="5" t="str">
        <f>IF(ISNUMBER(SEARCH("MAY", C169)), "MAY", IF(ISNUMBER(SEARCH("SHOULD", C169)), "SHOULD", IF(ISNUMBER(SEARCH("SHALL", C169)), "SHALL", IF(ISNUMBER(SEARCH("SHOULD NOT", C169)), "SHOULD NOT", IF(ISNUMBER(SEARCH("SHALL NOT", C169)), "SHALL NOT", "")))))</f>
        <v>SHALL</v>
      </c>
      <c r="P169" s="5" t="str">
        <f>IF(ISNUMBER(SEARCH("server", C169)), "Server", IF(ISNUMBER(SEARCH("Server", C169)), "Server", IF(ISNUMBER(SEARCH("client", C169)), "Client", IF(ISNUMBER(SEARCH("Client", C169)), "Client", IF(ISNUMBER(SEARCH("US Core Responder", C169)), "Server", IF(ISNUMBER(SEARCH("US Core Requestor", C169)), "Client", ""))))))</f>
        <v/>
      </c>
      <c r="R169" s="5" t="s">
        <v>446</v>
      </c>
    </row>
    <row r="170" spans="1:22" ht="128" x14ac:dyDescent="0.2">
      <c r="A170" s="2">
        <v>169</v>
      </c>
      <c r="B170" s="30" t="s">
        <v>234</v>
      </c>
      <c r="C170" s="36" t="s">
        <v>241</v>
      </c>
      <c r="D170" s="2" t="s">
        <v>30</v>
      </c>
      <c r="E170" s="2" t="s">
        <v>54</v>
      </c>
      <c r="M170" s="31" t="str" cm="1">
        <f t="array" ref="M170">PAGE_NAME(B170)</f>
        <v>b2b</v>
      </c>
      <c r="N170" s="31" t="str" cm="1">
        <f t="array" ref="N170">SECTION_NAME(B170)</f>
        <v>submitting-a-token-request</v>
      </c>
      <c r="O170" s="5" t="str">
        <f t="shared" ref="O170" si="94">IF(ISNUMBER(SEARCH("MAY", C170)), "MAY", IF(ISNUMBER(SEARCH("SHOULD", C170)), "SHOULD", IF(ISNUMBER(SEARCH("SHALL", C170)), "SHALL", IF(ISNUMBER(SEARCH("SHOULD NOT", C170)), "SHOULD NOT", IF(ISNUMBER(SEARCH("SHALL NOT", C170)), "SHALL NOT", "")))))</f>
        <v>SHALL</v>
      </c>
      <c r="P170" s="5" t="str">
        <f t="shared" ref="P170" si="95">IF(ISNUMBER(SEARCH("server", C170)), "Server", IF(ISNUMBER(SEARCH("Server", C170)), "Server", IF(ISNUMBER(SEARCH("client", C170)), "Client", IF(ISNUMBER(SEARCH("Client", C170)), "Client", IF(ISNUMBER(SEARCH("US Core Responder", C170)), "Server", IF(ISNUMBER(SEARCH("US Core Requestor", C170)), "Client", ""))))))</f>
        <v>Client</v>
      </c>
      <c r="R170" s="5" t="s">
        <v>446</v>
      </c>
    </row>
    <row r="171" spans="1:22" ht="128" x14ac:dyDescent="0.2">
      <c r="A171" s="2">
        <v>170</v>
      </c>
      <c r="B171" s="30" t="s">
        <v>234</v>
      </c>
      <c r="C171" s="36" t="s">
        <v>242</v>
      </c>
      <c r="D171" s="2" t="s">
        <v>30</v>
      </c>
      <c r="E171" s="2" t="s">
        <v>54</v>
      </c>
      <c r="M171" s="31" t="str" cm="1">
        <f t="array" ref="M171">PAGE_NAME(B171)</f>
        <v>b2b</v>
      </c>
      <c r="N171" s="31" t="str" cm="1">
        <f t="array" ref="N171">SECTION_NAME(B171)</f>
        <v>submitting-a-token-request</v>
      </c>
      <c r="O171" s="5" t="str">
        <f t="shared" ref="O171" si="96">IF(ISNUMBER(SEARCH("MAY", C171)), "MAY", IF(ISNUMBER(SEARCH("SHOULD", C171)), "SHOULD", IF(ISNUMBER(SEARCH("SHALL", C171)), "SHALL", IF(ISNUMBER(SEARCH("SHOULD NOT", C171)), "SHOULD NOT", IF(ISNUMBER(SEARCH("SHALL NOT", C171)), "SHALL NOT", "")))))</f>
        <v>SHALL</v>
      </c>
      <c r="P171" s="5" t="str">
        <f t="shared" ref="P171" si="97">IF(ISNUMBER(SEARCH("server", C171)), "Server", IF(ISNUMBER(SEARCH("Server", C171)), "Server", IF(ISNUMBER(SEARCH("client", C171)), "Client", IF(ISNUMBER(SEARCH("Client", C171)), "Client", IF(ISNUMBER(SEARCH("US Core Responder", C171)), "Server", IF(ISNUMBER(SEARCH("US Core Requestor", C171)), "Client", ""))))))</f>
        <v>Client</v>
      </c>
      <c r="R171" s="5" t="s">
        <v>446</v>
      </c>
    </row>
    <row r="172" spans="1:22" ht="128" x14ac:dyDescent="0.2">
      <c r="A172" s="2">
        <v>171</v>
      </c>
      <c r="B172" s="30" t="s">
        <v>234</v>
      </c>
      <c r="C172" s="36" t="s">
        <v>243</v>
      </c>
      <c r="D172" s="2" t="s">
        <v>30</v>
      </c>
      <c r="E172" s="2" t="s">
        <v>54</v>
      </c>
      <c r="M172" s="31" t="str" cm="1">
        <f t="array" ref="M172">PAGE_NAME(B172)</f>
        <v>b2b</v>
      </c>
      <c r="N172" s="31" t="str" cm="1">
        <f t="array" ref="N172">SECTION_NAME(B172)</f>
        <v>submitting-a-token-request</v>
      </c>
      <c r="O172" s="5" t="str">
        <f t="shared" ref="O172" si="98">IF(ISNUMBER(SEARCH("MAY", C172)), "MAY", IF(ISNUMBER(SEARCH("SHOULD", C172)), "SHOULD", IF(ISNUMBER(SEARCH("SHALL", C172)), "SHALL", IF(ISNUMBER(SEARCH("SHOULD NOT", C172)), "SHOULD NOT", IF(ISNUMBER(SEARCH("SHALL NOT", C172)), "SHALL NOT", "")))))</f>
        <v>SHALL</v>
      </c>
      <c r="P172" s="5" t="str">
        <f t="shared" ref="P172" si="99">IF(ISNUMBER(SEARCH("server", C172)), "Server", IF(ISNUMBER(SEARCH("Server", C172)), "Server", IF(ISNUMBER(SEARCH("client", C172)), "Client", IF(ISNUMBER(SEARCH("Client", C172)), "Client", IF(ISNUMBER(SEARCH("US Core Responder", C172)), "Server", IF(ISNUMBER(SEARCH("US Core Requestor", C172)), "Client", ""))))))</f>
        <v/>
      </c>
      <c r="R172" s="5" t="s">
        <v>446</v>
      </c>
    </row>
    <row r="173" spans="1:22" ht="102" x14ac:dyDescent="0.2">
      <c r="A173" s="2">
        <v>172</v>
      </c>
      <c r="B173" s="30" t="s">
        <v>230</v>
      </c>
      <c r="C173" s="36" t="s">
        <v>244</v>
      </c>
      <c r="D173" s="2" t="s">
        <v>30</v>
      </c>
      <c r="E173" s="2" t="s">
        <v>45</v>
      </c>
      <c r="F173" s="30" t="s">
        <v>245</v>
      </c>
      <c r="M173" s="31" t="str" cm="1">
        <f t="array" ref="M173">PAGE_NAME(B173)</f>
        <v>consumer</v>
      </c>
      <c r="N173" s="31" t="str" cm="1">
        <f t="array" ref="N173">SECTION_NAME(B173)</f>
        <v>submitting-a-token-request</v>
      </c>
      <c r="O173" s="5" t="str">
        <f t="shared" ref="O173" si="100">IF(ISNUMBER(SEARCH("MAY", C173)), "MAY", IF(ISNUMBER(SEARCH("SHOULD", C173)), "SHOULD", IF(ISNUMBER(SEARCH("SHALL", C173)), "SHALL", IF(ISNUMBER(SEARCH("SHOULD NOT", C173)), "SHOULD NOT", IF(ISNUMBER(SEARCH("SHALL NOT", C173)), "SHALL NOT", "")))))</f>
        <v>SHALL</v>
      </c>
      <c r="P173" s="5" t="str">
        <f t="shared" ref="P173" si="101">IF(ISNUMBER(SEARCH("server", C173)), "Server", IF(ISNUMBER(SEARCH("Server", C173)), "Server", IF(ISNUMBER(SEARCH("client", C173)), "Client", IF(ISNUMBER(SEARCH("Client", C173)), "Client", IF(ISNUMBER(SEARCH("US Core Responder", C173)), "Server", IF(ISNUMBER(SEARCH("US Core Requestor", C173)), "Client", ""))))))</f>
        <v>Server</v>
      </c>
      <c r="R173" s="5" t="s">
        <v>446</v>
      </c>
      <c r="V173" s="5" t="s">
        <v>452</v>
      </c>
    </row>
    <row r="174" spans="1:22" ht="85" x14ac:dyDescent="0.2">
      <c r="A174" s="2">
        <v>173</v>
      </c>
      <c r="B174" s="30" t="s">
        <v>246</v>
      </c>
      <c r="C174" s="36" t="s">
        <v>247</v>
      </c>
      <c r="D174" s="2" t="s">
        <v>30</v>
      </c>
      <c r="E174" s="2" t="s">
        <v>45</v>
      </c>
      <c r="O174" s="5" t="str">
        <f>IF(ISNUMBER(SEARCH("MAY", C174)), "MAY", IF(ISNUMBER(SEARCH("SHOULD", C174)), "SHOULD", IF(ISNUMBER(SEARCH("SHALL", C174)), "SHALL", IF(ISNUMBER(SEARCH("SHOULD NOT", C174)), "SHOULD NOT", IF(ISNUMBER(SEARCH("SHALL NOT", C174)), "SHALL NOT", "")))))</f>
        <v/>
      </c>
      <c r="P174" s="5" t="str">
        <f>IF(ISNUMBER(SEARCH("server", C174)), "Server", IF(ISNUMBER(SEARCH("Server", C174)), "Server", IF(ISNUMBER(SEARCH("client", C174)), "Client", IF(ISNUMBER(SEARCH("Client", C174)), "Client", IF(ISNUMBER(SEARCH("US Core Responder", C174)), "Server", IF(ISNUMBER(SEARCH("US Core Requestor", C174)), "Client", ""))))))</f>
        <v/>
      </c>
      <c r="R174" s="5" t="s">
        <v>451</v>
      </c>
      <c r="V174" s="5" t="s">
        <v>453</v>
      </c>
    </row>
    <row r="175" spans="1:22" ht="85" x14ac:dyDescent="0.2">
      <c r="A175" s="2">
        <v>174</v>
      </c>
      <c r="B175" s="30" t="s">
        <v>246</v>
      </c>
      <c r="C175" s="36" t="s">
        <v>248</v>
      </c>
      <c r="D175" s="2" t="s">
        <v>30</v>
      </c>
      <c r="E175" s="2" t="s">
        <v>45</v>
      </c>
      <c r="O175" s="5" t="str">
        <f>IF(ISNUMBER(SEARCH("MAY", C175)), "MAY", IF(ISNUMBER(SEARCH("SHOULD", C175)), "SHOULD", IF(ISNUMBER(SEARCH("SHALL", C175)), "SHALL", IF(ISNUMBER(SEARCH("SHOULD NOT", C175)), "SHOULD NOT", IF(ISNUMBER(SEARCH("SHALL NOT", C175)), "SHALL NOT", "")))))</f>
        <v/>
      </c>
      <c r="P175" s="5" t="str">
        <f>IF(ISNUMBER(SEARCH("server", C175)), "Server", IF(ISNUMBER(SEARCH("Server", C175)), "Server", IF(ISNUMBER(SEARCH("client", C175)), "Client", IF(ISNUMBER(SEARCH("Client", C175)), "Client", IF(ISNUMBER(SEARCH("US Core Responder", C175)), "Server", IF(ISNUMBER(SEARCH("US Core Requestor", C175)), "Client", ""))))))</f>
        <v/>
      </c>
      <c r="R175" s="5" t="s">
        <v>451</v>
      </c>
      <c r="V175" s="5" t="s">
        <v>453</v>
      </c>
    </row>
    <row r="176" spans="1:22" ht="85" x14ac:dyDescent="0.2">
      <c r="A176" s="2">
        <v>175</v>
      </c>
      <c r="B176" s="30" t="s">
        <v>246</v>
      </c>
      <c r="C176" s="36" t="s">
        <v>249</v>
      </c>
      <c r="D176" s="2" t="s">
        <v>30</v>
      </c>
      <c r="E176" s="2" t="s">
        <v>54</v>
      </c>
      <c r="O176" s="5" t="str">
        <f>IF(ISNUMBER(SEARCH("MAY", C176)), "MAY", IF(ISNUMBER(SEARCH("SHOULD", C176)), "SHOULD", IF(ISNUMBER(SEARCH("SHALL", C176)), "SHALL", IF(ISNUMBER(SEARCH("SHOULD NOT", C176)), "SHOULD NOT", IF(ISNUMBER(SEARCH("SHALL NOT", C176)), "SHALL NOT", "")))))</f>
        <v/>
      </c>
      <c r="P176" s="5" t="str">
        <f>IF(ISNUMBER(SEARCH("server", C176)), "Server", IF(ISNUMBER(SEARCH("Server", C176)), "Server", IF(ISNUMBER(SEARCH("client", C176)), "Client", IF(ISNUMBER(SEARCH("Client", C176)), "Client", IF(ISNUMBER(SEARCH("US Core Responder", C176)), "Server", IF(ISNUMBER(SEARCH("US Core Requestor", C176)), "Client", ""))))))</f>
        <v>Server</v>
      </c>
      <c r="R176" s="5" t="s">
        <v>451</v>
      </c>
      <c r="V176" s="5" t="s">
        <v>453</v>
      </c>
    </row>
    <row r="177" spans="1:22" ht="85" x14ac:dyDescent="0.2">
      <c r="A177" s="2">
        <v>176</v>
      </c>
      <c r="B177" s="30" t="s">
        <v>246</v>
      </c>
      <c r="C177" s="36" t="s">
        <v>250</v>
      </c>
      <c r="D177" s="2" t="s">
        <v>30</v>
      </c>
      <c r="E177" s="2" t="s">
        <v>45</v>
      </c>
      <c r="O177" s="5" t="str">
        <f>IF(ISNUMBER(SEARCH("MAY", C177)), "MAY", IF(ISNUMBER(SEARCH("SHOULD", C177)), "SHOULD", IF(ISNUMBER(SEARCH("SHALL", C177)), "SHALL", IF(ISNUMBER(SEARCH("SHOULD NOT", C177)), "SHOULD NOT", IF(ISNUMBER(SEARCH("SHALL NOT", C177)), "SHALL NOT", "")))))</f>
        <v/>
      </c>
      <c r="P177" s="5" t="str">
        <f>IF(ISNUMBER(SEARCH("server", C177)), "Server", IF(ISNUMBER(SEARCH("Server", C177)), "Server", IF(ISNUMBER(SEARCH("client", C177)), "Client", IF(ISNUMBER(SEARCH("Client", C177)), "Client", IF(ISNUMBER(SEARCH("US Core Responder", C177)), "Server", IF(ISNUMBER(SEARCH("US Core Requestor", C177)), "Client", ""))))))</f>
        <v/>
      </c>
      <c r="R177" s="5" t="s">
        <v>451</v>
      </c>
      <c r="V177" s="5" t="s">
        <v>453</v>
      </c>
    </row>
    <row r="178" spans="1:22" ht="136" x14ac:dyDescent="0.2">
      <c r="A178" s="2">
        <v>177</v>
      </c>
      <c r="B178" s="30" t="s">
        <v>246</v>
      </c>
      <c r="C178" s="36" t="s">
        <v>251</v>
      </c>
      <c r="D178" s="2" t="s">
        <v>30</v>
      </c>
      <c r="E178" s="2" t="s">
        <v>54</v>
      </c>
      <c r="O178" s="5" t="str">
        <f>IF(ISNUMBER( SEARCH("MAY",#REF!)), "MAY", IF(ISNUMBER( SEARCH("SHOULD",#REF!)), "SHOULD", IF(ISNUMBER( SEARCH("SHALL",#REF!)), "SHALL", IF(ISNUMBER( SEARCH("SHOULD NOT",#REF!)), "SHOULD NOT", IF(ISNUMBER( SEARCH("SHALL NOT",#REF!)), "SHALL NOT", "")))))</f>
        <v/>
      </c>
      <c r="P178" s="5" t="str">
        <f>IF(ISNUMBER( SEARCH("server",#REF!)), "Server", IF(ISNUMBER( SEARCH("Server",#REF!)), "Server", IF(ISNUMBER( SEARCH("client",#REF!)), "Client", IF(ISNUMBER( SEARCH("Client",#REF!)), "Client", IF(ISNUMBER( SEARCH("US Core Responder",#REF!)), "Server", IF(ISNUMBER( SEARCH("US Core Requestor",#REF!)), "Client", ""))))))</f>
        <v/>
      </c>
      <c r="R178" s="5" t="s">
        <v>451</v>
      </c>
      <c r="V178" s="5" t="s">
        <v>453</v>
      </c>
    </row>
    <row r="179" spans="1:22" ht="85" x14ac:dyDescent="0.2">
      <c r="A179" s="2">
        <v>178</v>
      </c>
      <c r="B179" s="30" t="s">
        <v>246</v>
      </c>
      <c r="C179" s="36" t="s">
        <v>252</v>
      </c>
      <c r="D179" s="2" t="s">
        <v>30</v>
      </c>
      <c r="E179" s="2" t="s">
        <v>54</v>
      </c>
      <c r="O179" s="5" t="str">
        <f>IF(ISNUMBER( SEARCH("MAY",#REF!)), "MAY", IF(ISNUMBER( SEARCH("SHOULD",#REF!)), "SHOULD", IF(ISNUMBER( SEARCH("SHALL",#REF!)), "SHALL", IF(ISNUMBER( SEARCH("SHOULD NOT",#REF!)), "SHOULD NOT", IF(ISNUMBER( SEARCH("SHALL NOT",#REF!)), "SHALL NOT", "")))))</f>
        <v/>
      </c>
      <c r="P179" s="5" t="str">
        <f>IF(ISNUMBER( SEARCH("server",#REF!)), "Server", IF(ISNUMBER( SEARCH("Server",#REF!)), "Server", IF(ISNUMBER( SEARCH("client",#REF!)), "Client", IF(ISNUMBER( SEARCH("Client",#REF!)), "Client", IF(ISNUMBER( SEARCH("US Core Responder",#REF!)), "Server", IF(ISNUMBER( SEARCH("US Core Requestor",#REF!)), "Client", ""))))))</f>
        <v/>
      </c>
      <c r="R179" s="5" t="s">
        <v>451</v>
      </c>
      <c r="V179" s="5" t="s">
        <v>453</v>
      </c>
    </row>
    <row r="180" spans="1:22" ht="85" x14ac:dyDescent="0.2">
      <c r="A180" s="2">
        <v>179</v>
      </c>
      <c r="B180" s="30" t="s">
        <v>246</v>
      </c>
      <c r="C180" s="36" t="s">
        <v>253</v>
      </c>
      <c r="D180" s="2" t="s">
        <v>30</v>
      </c>
      <c r="E180" s="2" t="s">
        <v>54</v>
      </c>
      <c r="O180" s="5" t="str">
        <f>IF(ISNUMBER( SEARCH("MAY",#REF!)), "MAY", IF(ISNUMBER( SEARCH("SHOULD",#REF!)), "SHOULD", IF(ISNUMBER( SEARCH("SHALL",#REF!)), "SHALL", IF(ISNUMBER( SEARCH("SHOULD NOT",#REF!)), "SHOULD NOT", IF(ISNUMBER( SEARCH("SHALL NOT",#REF!)), "SHALL NOT", "")))))</f>
        <v/>
      </c>
      <c r="P180" s="5" t="str">
        <f>IF(ISNUMBER( SEARCH("server",#REF!)), "Server", IF(ISNUMBER( SEARCH("Server",#REF!)), "Server", IF(ISNUMBER( SEARCH("client",#REF!)), "Client", IF(ISNUMBER( SEARCH("Client",#REF!)), "Client", IF(ISNUMBER( SEARCH("US Core Responder",#REF!)), "Server", IF(ISNUMBER( SEARCH("US Core Requestor",#REF!)), "Client", ""))))))</f>
        <v/>
      </c>
      <c r="R180" s="5" t="s">
        <v>451</v>
      </c>
      <c r="V180" s="5" t="s">
        <v>453</v>
      </c>
    </row>
    <row r="181" spans="1:22" ht="85" x14ac:dyDescent="0.2">
      <c r="A181" s="2">
        <v>180</v>
      </c>
      <c r="B181" s="30" t="s">
        <v>246</v>
      </c>
      <c r="C181" s="36" t="s">
        <v>254</v>
      </c>
      <c r="D181" s="2" t="s">
        <v>30</v>
      </c>
      <c r="E181" s="2" t="s">
        <v>54</v>
      </c>
      <c r="O181" s="5" t="str">
        <f>IF(ISNUMBER( SEARCH("MAY",#REF!)), "MAY", IF(ISNUMBER( SEARCH("SHOULD",#REF!)), "SHOULD", IF(ISNUMBER( SEARCH("SHALL",#REF!)), "SHALL", IF(ISNUMBER( SEARCH("SHOULD NOT",#REF!)), "SHOULD NOT", IF(ISNUMBER( SEARCH("SHALL NOT",#REF!)), "SHALL NOT", "")))))</f>
        <v/>
      </c>
      <c r="P181" s="5" t="str">
        <f>IF(ISNUMBER( SEARCH("server",#REF!)), "Server", IF(ISNUMBER( SEARCH("Server",#REF!)), "Server", IF(ISNUMBER( SEARCH("client",#REF!)), "Client", IF(ISNUMBER( SEARCH("Client",#REF!)), "Client", IF(ISNUMBER( SEARCH("US Core Responder",#REF!)), "Server", IF(ISNUMBER( SEARCH("US Core Requestor",#REF!)), "Client", ""))))))</f>
        <v/>
      </c>
      <c r="R181" s="5" t="s">
        <v>451</v>
      </c>
      <c r="V181" s="5" t="s">
        <v>453</v>
      </c>
    </row>
    <row r="182" spans="1:22" ht="85" x14ac:dyDescent="0.2">
      <c r="A182" s="2">
        <v>181</v>
      </c>
      <c r="B182" s="30" t="s">
        <v>246</v>
      </c>
      <c r="C182" s="36" t="s">
        <v>255</v>
      </c>
      <c r="D182" s="2" t="s">
        <v>37</v>
      </c>
      <c r="E182" s="2" t="s">
        <v>54</v>
      </c>
      <c r="O182" s="5" t="str">
        <f>IF(ISNUMBER( SEARCH("MAY",#REF!)), "MAY", IF(ISNUMBER( SEARCH("SHOULD",#REF!)), "SHOULD", IF(ISNUMBER( SEARCH("SHALL",#REF!)), "SHALL", IF(ISNUMBER( SEARCH("SHOULD NOT",#REF!)), "SHOULD NOT", IF(ISNUMBER( SEARCH("SHALL NOT",#REF!)), "SHALL NOT", "")))))</f>
        <v/>
      </c>
      <c r="P182" s="5" t="str">
        <f>IF(ISNUMBER( SEARCH("server",#REF!)), "Server", IF(ISNUMBER( SEARCH("Server",#REF!)), "Server", IF(ISNUMBER( SEARCH("client",#REF!)), "Client", IF(ISNUMBER( SEARCH("Client",#REF!)), "Client", IF(ISNUMBER( SEARCH("US Core Responder",#REF!)), "Server", IF(ISNUMBER( SEARCH("US Core Requestor",#REF!)), "Client", ""))))))</f>
        <v/>
      </c>
      <c r="R182" s="5" t="s">
        <v>451</v>
      </c>
      <c r="V182" s="5" t="s">
        <v>453</v>
      </c>
    </row>
    <row r="183" spans="1:22" ht="85" x14ac:dyDescent="0.2">
      <c r="A183" s="2">
        <v>182</v>
      </c>
      <c r="B183" s="30" t="s">
        <v>246</v>
      </c>
      <c r="C183" s="36" t="s">
        <v>256</v>
      </c>
      <c r="D183" s="2" t="s">
        <v>30</v>
      </c>
      <c r="E183" s="2" t="s">
        <v>45</v>
      </c>
      <c r="O183" s="5" t="str">
        <f>IF(ISNUMBER( SEARCH("MAY",#REF!)), "MAY", IF(ISNUMBER( SEARCH("SHOULD",#REF!)), "SHOULD", IF(ISNUMBER( SEARCH("SHALL",#REF!)), "SHALL", IF(ISNUMBER( SEARCH("SHOULD NOT",#REF!)), "SHOULD NOT", IF(ISNUMBER( SEARCH("SHALL NOT",#REF!)), "SHALL NOT", "")))))</f>
        <v/>
      </c>
      <c r="P183" s="5" t="str">
        <f>IF(ISNUMBER( SEARCH("server",#REF!)), "Server", IF(ISNUMBER( SEARCH("Server",#REF!)), "Server", IF(ISNUMBER( SEARCH("client",#REF!)), "Client", IF(ISNUMBER( SEARCH("Client",#REF!)), "Client", IF(ISNUMBER( SEARCH("US Core Responder",#REF!)), "Server", IF(ISNUMBER( SEARCH("US Core Requestor",#REF!)), "Client", ""))))))</f>
        <v/>
      </c>
      <c r="R183" s="5" t="s">
        <v>451</v>
      </c>
      <c r="V183" s="5" t="s">
        <v>453</v>
      </c>
    </row>
    <row r="184" spans="1:22" ht="85" x14ac:dyDescent="0.2">
      <c r="A184" s="2">
        <v>183</v>
      </c>
      <c r="B184" s="30" t="s">
        <v>246</v>
      </c>
      <c r="C184" s="36" t="s">
        <v>257</v>
      </c>
      <c r="D184" s="2" t="s">
        <v>30</v>
      </c>
      <c r="E184" s="2" t="s">
        <v>45</v>
      </c>
      <c r="O184" s="5" t="str">
        <f>IF(ISNUMBER( SEARCH("MAY",#REF!)), "MAY", IF(ISNUMBER( SEARCH("SHOULD",#REF!)), "SHOULD", IF(ISNUMBER( SEARCH("SHALL",#REF!)), "SHALL", IF(ISNUMBER( SEARCH("SHOULD NOT",#REF!)), "SHOULD NOT", IF(ISNUMBER( SEARCH("SHALL NOT",#REF!)), "SHALL NOT", "")))))</f>
        <v/>
      </c>
      <c r="P184" s="5" t="str">
        <f>IF(ISNUMBER( SEARCH("server",#REF!)), "Server", IF(ISNUMBER( SEARCH("Server",#REF!)), "Server", IF(ISNUMBER( SEARCH("client",#REF!)), "Client", IF(ISNUMBER( SEARCH("Client",#REF!)), "Client", IF(ISNUMBER( SEARCH("US Core Responder",#REF!)), "Server", IF(ISNUMBER( SEARCH("US Core Requestor",#REF!)), "Client", ""))))))</f>
        <v/>
      </c>
      <c r="R184" s="5" t="s">
        <v>451</v>
      </c>
      <c r="V184" s="5" t="s">
        <v>453</v>
      </c>
    </row>
    <row r="185" spans="1:22" ht="128" x14ac:dyDescent="0.2">
      <c r="A185" s="2">
        <v>184</v>
      </c>
      <c r="B185" s="30" t="s">
        <v>258</v>
      </c>
      <c r="C185" s="36" t="s">
        <v>259</v>
      </c>
      <c r="D185" s="2" t="s">
        <v>30</v>
      </c>
      <c r="E185" s="2" t="s">
        <v>45</v>
      </c>
      <c r="M185" s="31" t="str" cm="1">
        <f t="array" ref="M185">PAGE_NAME(B185)</f>
        <v>b2b</v>
      </c>
      <c r="N185" s="31" t="str" cm="1">
        <f t="array" ref="N185">SECTION_NAME(B185)</f>
        <v>client-credentials-grant</v>
      </c>
      <c r="O185" s="5" t="str">
        <f t="shared" ref="O185" si="102">IF(ISNUMBER(SEARCH("MAY", C185)), "MAY", IF(ISNUMBER(SEARCH("SHOULD", C185)), "SHOULD", IF(ISNUMBER(SEARCH("SHALL", C185)), "SHALL", IF(ISNUMBER(SEARCH("SHOULD NOT", C185)), "SHOULD NOT", IF(ISNUMBER(SEARCH("SHALL NOT", C185)), "SHALL NOT", "")))))</f>
        <v>SHALL</v>
      </c>
      <c r="P185" s="5" t="str">
        <f t="shared" ref="P185" si="103">IF(ISNUMBER(SEARCH("server", C185)), "Server", IF(ISNUMBER(SEARCH("Server", C185)), "Server", IF(ISNUMBER(SEARCH("client", C185)), "Client", IF(ISNUMBER(SEARCH("Client", C185)), "Client", IF(ISNUMBER(SEARCH("US Core Responder", C185)), "Server", IF(ISNUMBER(SEARCH("US Core Requestor", C185)), "Client", ""))))))</f>
        <v>Server</v>
      </c>
      <c r="R185" s="5" t="s">
        <v>451</v>
      </c>
    </row>
    <row r="186" spans="1:22" ht="119" x14ac:dyDescent="0.2">
      <c r="A186" s="2">
        <v>185</v>
      </c>
      <c r="B186" s="30" t="s">
        <v>260</v>
      </c>
      <c r="C186" s="36" t="s">
        <v>261</v>
      </c>
      <c r="D186" s="2" t="s">
        <v>30</v>
      </c>
      <c r="E186" s="2" t="s">
        <v>54</v>
      </c>
      <c r="M186" s="31" t="str" cm="1">
        <f t="array" ref="M186">PAGE_NAME(B186)</f>
        <v>b2b</v>
      </c>
      <c r="N186" s="31" t="str" cm="1">
        <f t="array" ref="N186">SECTION_NAME(B186)</f>
        <v>business-to-business</v>
      </c>
      <c r="O186" s="5" t="str">
        <f t="shared" si="48"/>
        <v>SHALL</v>
      </c>
      <c r="P186" s="5" t="str">
        <f t="shared" si="49"/>
        <v>Client</v>
      </c>
      <c r="R186" s="5" t="s">
        <v>443</v>
      </c>
    </row>
    <row r="187" spans="1:22" ht="119" x14ac:dyDescent="0.2">
      <c r="A187" s="2">
        <v>186</v>
      </c>
      <c r="B187" s="30" t="s">
        <v>260</v>
      </c>
      <c r="C187" s="36" t="s">
        <v>262</v>
      </c>
      <c r="D187" s="2" t="s">
        <v>30</v>
      </c>
      <c r="E187" s="2" t="s">
        <v>54</v>
      </c>
      <c r="M187" s="31" t="str" cm="1">
        <f t="array" ref="M187">PAGE_NAME(B187)</f>
        <v>b2b</v>
      </c>
      <c r="N187" s="31" t="str" cm="1">
        <f t="array" ref="N187">SECTION_NAME(B187)</f>
        <v>business-to-business</v>
      </c>
      <c r="O187" s="5" t="str">
        <f t="shared" ref="O187" si="104">IF(ISNUMBER(SEARCH("MAY", C187)), "MAY", IF(ISNUMBER(SEARCH("SHOULD", C187)), "SHOULD", IF(ISNUMBER(SEARCH("SHALL", C187)), "SHALL", IF(ISNUMBER(SEARCH("SHOULD NOT", C187)), "SHOULD NOT", IF(ISNUMBER(SEARCH("SHALL NOT", C187)), "SHALL NOT", "")))))</f>
        <v>SHALL</v>
      </c>
      <c r="P187" s="5" t="str">
        <f t="shared" ref="P187" si="105">IF(ISNUMBER(SEARCH("server", C187)), "Server", IF(ISNUMBER(SEARCH("Server", C187)), "Server", IF(ISNUMBER(SEARCH("client", C187)), "Client", IF(ISNUMBER(SEARCH("Client", C187)), "Client", IF(ISNUMBER(SEARCH("US Core Responder", C187)), "Server", IF(ISNUMBER(SEARCH("US Core Requestor", C187)), "Client", ""))))))</f>
        <v>Client</v>
      </c>
      <c r="R187" s="5" t="s">
        <v>444</v>
      </c>
    </row>
    <row r="188" spans="1:22" ht="85" x14ac:dyDescent="0.2">
      <c r="A188" s="2">
        <v>187</v>
      </c>
      <c r="B188" s="30" t="s">
        <v>260</v>
      </c>
      <c r="C188" s="36" t="s">
        <v>263</v>
      </c>
      <c r="D188" s="2" t="s">
        <v>30</v>
      </c>
      <c r="E188" s="2" t="s">
        <v>54</v>
      </c>
      <c r="M188" s="31" t="str" cm="1">
        <f t="array" ref="M188">PAGE_NAME(B188)</f>
        <v>b2b</v>
      </c>
      <c r="N188" s="31" t="str" cm="1">
        <f t="array" ref="N188">SECTION_NAME(B188)</f>
        <v>business-to-business</v>
      </c>
      <c r="O188" s="5" t="str">
        <f>IF(ISNUMBER(SEARCH("MAY", C188)), "MAY", IF(ISNUMBER(SEARCH("SHOULD", C188)), "SHOULD", IF(ISNUMBER(SEARCH("SHALL", C188)), "SHALL", IF(ISNUMBER(SEARCH("SHOULD NOT", C188)), "SHOULD NOT", IF(ISNUMBER(SEARCH("SHALL NOT", C188)), "SHALL NOT", "")))))</f>
        <v/>
      </c>
      <c r="P188" s="5" t="str">
        <f>IF(ISNUMBER(SEARCH("server", C188)), "Server", IF(ISNUMBER(SEARCH("Server", C188)), "Server", IF(ISNUMBER(SEARCH("client", C188)), "Client", IF(ISNUMBER(SEARCH("Client", C188)), "Client", IF(ISNUMBER(SEARCH("US Core Responder", C188)), "Server", IF(ISNUMBER(SEARCH("US Core Requestor", C188)), "Client", ""))))))</f>
        <v>Client</v>
      </c>
      <c r="R188" s="5" t="s">
        <v>444</v>
      </c>
    </row>
    <row r="189" spans="1:22" ht="85" x14ac:dyDescent="0.2">
      <c r="A189" s="2">
        <v>188</v>
      </c>
      <c r="B189" s="30" t="s">
        <v>264</v>
      </c>
      <c r="C189" s="36" t="s">
        <v>265</v>
      </c>
      <c r="D189" s="2" t="s">
        <v>30</v>
      </c>
      <c r="E189" s="2" t="s">
        <v>54</v>
      </c>
      <c r="F189" s="30" t="s">
        <v>266</v>
      </c>
      <c r="M189" s="31" t="str" cm="1">
        <f t="array" ref="M189">PAGE_NAME(B189)</f>
        <v>b2b</v>
      </c>
      <c r="N189" s="31" t="str" cm="1">
        <f t="array" ref="N189">SECTION_NAME(B189)</f>
        <v>obtaining-an-authorization-code</v>
      </c>
      <c r="O189" s="5" t="str">
        <f t="shared" ref="O189" si="106">IF(ISNUMBER(SEARCH("MAY", C189)), "MAY", IF(ISNUMBER(SEARCH("SHOULD", C189)), "SHOULD", IF(ISNUMBER(SEARCH("SHALL", C189)), "SHALL", IF(ISNUMBER(SEARCH("SHOULD NOT", C189)), "SHOULD NOT", IF(ISNUMBER(SEARCH("SHALL NOT", C189)), "SHALL NOT", "")))))</f>
        <v>SHALL</v>
      </c>
      <c r="P189" s="5" t="str">
        <f t="shared" ref="P189" si="107">IF(ISNUMBER(SEARCH("server", C189)), "Server", IF(ISNUMBER(SEARCH("Server", C189)), "Server", IF(ISNUMBER(SEARCH("client", C189)), "Client", IF(ISNUMBER(SEARCH("Client", C189)), "Client", IF(ISNUMBER(SEARCH("US Core Responder", C189)), "Server", IF(ISNUMBER(SEARCH("US Core Requestor", C189)), "Client", ""))))))</f>
        <v>Client</v>
      </c>
      <c r="R189" s="5" t="s">
        <v>443</v>
      </c>
    </row>
    <row r="190" spans="1:22" ht="85" x14ac:dyDescent="0.2">
      <c r="A190" s="2">
        <v>189</v>
      </c>
      <c r="B190" s="30" t="s">
        <v>264</v>
      </c>
      <c r="C190" s="36" t="s">
        <v>267</v>
      </c>
      <c r="D190" s="2" t="s">
        <v>172</v>
      </c>
      <c r="E190" s="2" t="s">
        <v>54</v>
      </c>
      <c r="M190" s="31" t="str" cm="1">
        <f t="array" ref="M190">PAGE_NAME(B190)</f>
        <v>b2b</v>
      </c>
      <c r="N190" s="31" t="str" cm="1">
        <f t="array" ref="N190">SECTION_NAME(B190)</f>
        <v>obtaining-an-authorization-code</v>
      </c>
      <c r="O190" s="5" t="str">
        <f t="shared" ref="O190" si="108">IF(ISNUMBER(SEARCH("MAY", C190)), "MAY", IF(ISNUMBER(SEARCH("SHOULD", C190)), "SHOULD", IF(ISNUMBER(SEARCH("SHALL", C190)), "SHALL", IF(ISNUMBER(SEARCH("SHOULD NOT", C190)), "SHOULD NOT", IF(ISNUMBER(SEARCH("SHALL NOT", C190)), "SHALL NOT", "")))))</f>
        <v/>
      </c>
      <c r="P190" s="5" t="str">
        <f t="shared" ref="P190" si="109">IF(ISNUMBER(SEARCH("server", C190)), "Server", IF(ISNUMBER(SEARCH("Server", C190)), "Server", IF(ISNUMBER(SEARCH("client", C190)), "Client", IF(ISNUMBER(SEARCH("Client", C190)), "Client", IF(ISNUMBER(SEARCH("US Core Responder", C190)), "Server", IF(ISNUMBER(SEARCH("US Core Requestor", C190)), "Client", ""))))))</f>
        <v>Client</v>
      </c>
      <c r="V190" s="5" t="s">
        <v>268</v>
      </c>
    </row>
    <row r="191" spans="1:22" ht="85" x14ac:dyDescent="0.2">
      <c r="A191" s="2">
        <v>190</v>
      </c>
      <c r="B191" s="30" t="s">
        <v>264</v>
      </c>
      <c r="C191" s="36" t="s">
        <v>269</v>
      </c>
      <c r="D191" s="2" t="s">
        <v>30</v>
      </c>
      <c r="E191" s="2" t="s">
        <v>45</v>
      </c>
      <c r="F191" s="30" t="s">
        <v>270</v>
      </c>
      <c r="M191" s="31" t="str" cm="1">
        <f t="array" ref="M191">PAGE_NAME(B191)</f>
        <v>b2b</v>
      </c>
      <c r="N191" s="31" t="str" cm="1">
        <f t="array" ref="N191">SECTION_NAME(B191)</f>
        <v>obtaining-an-authorization-code</v>
      </c>
      <c r="O191" s="5" t="str">
        <f t="shared" ref="O191" si="110">IF(ISNUMBER(SEARCH("MAY", C191)), "MAY", IF(ISNUMBER(SEARCH("SHOULD", C191)), "SHOULD", IF(ISNUMBER(SEARCH("SHALL", C191)), "SHALL", IF(ISNUMBER(SEARCH("SHOULD NOT", C191)), "SHOULD NOT", IF(ISNUMBER(SEARCH("SHALL NOT", C191)), "SHALL NOT", "")))))</f>
        <v>SHALL</v>
      </c>
      <c r="P191" s="5" t="str">
        <f t="shared" ref="P191" si="111">IF(ISNUMBER(SEARCH("server", C191)), "Server", IF(ISNUMBER(SEARCH("Server", C191)), "Server", IF(ISNUMBER(SEARCH("client", C191)), "Client", IF(ISNUMBER(SEARCH("Client", C191)), "Client", IF(ISNUMBER(SEARCH("US Core Responder", C191)), "Server", IF(ISNUMBER(SEARCH("US Core Requestor", C191)), "Client", ""))))))</f>
        <v>Server</v>
      </c>
      <c r="R191" s="5" t="s">
        <v>446</v>
      </c>
      <c r="V191" s="5" t="s">
        <v>458</v>
      </c>
    </row>
    <row r="192" spans="1:22" ht="17" x14ac:dyDescent="0.2">
      <c r="A192" s="2">
        <v>191</v>
      </c>
      <c r="B192" s="30"/>
      <c r="D192" s="2" t="s">
        <v>172</v>
      </c>
      <c r="F192" s="30"/>
    </row>
    <row r="193" spans="1:18" ht="136" x14ac:dyDescent="0.2">
      <c r="A193" s="2">
        <v>192</v>
      </c>
      <c r="B193" s="30" t="s">
        <v>271</v>
      </c>
      <c r="C193" s="36" t="s">
        <v>272</v>
      </c>
      <c r="D193" s="2" t="s">
        <v>30</v>
      </c>
      <c r="E193" s="2" t="s">
        <v>54</v>
      </c>
      <c r="M193" s="31" t="str" cm="1">
        <f t="array" ref="M193">PAGE_NAME(B193)</f>
        <v>b2b</v>
      </c>
      <c r="N193" s="31" t="str" cm="1">
        <f t="array" ref="N193">SECTION_NAME(B193)</f>
        <v>constructing-authentication-token</v>
      </c>
      <c r="O193" s="5" t="str">
        <f t="shared" ref="O193" si="112">IF(ISNUMBER(SEARCH("MAY", C193)), "MAY", IF(ISNUMBER(SEARCH("SHOULD", C193)), "SHOULD", IF(ISNUMBER(SEARCH("SHALL", C193)), "SHALL", IF(ISNUMBER(SEARCH("SHOULD NOT", C193)), "SHOULD NOT", IF(ISNUMBER(SEARCH("SHALL NOT", C193)), "SHALL NOT", "")))))</f>
        <v>SHALL</v>
      </c>
      <c r="P193" s="5" t="str">
        <f t="shared" ref="P193" si="113">IF(ISNUMBER(SEARCH("server", C193)), "Server", IF(ISNUMBER(SEARCH("Server", C193)), "Server", IF(ISNUMBER(SEARCH("client", C193)), "Client", IF(ISNUMBER(SEARCH("Client", C193)), "Client", IF(ISNUMBER(SEARCH("US Core Responder", C193)), "Server", IF(ISNUMBER(SEARCH("US Core Requestor", C193)), "Client", ""))))))</f>
        <v>Client</v>
      </c>
      <c r="R193" s="5" t="s">
        <v>444</v>
      </c>
    </row>
    <row r="194" spans="1:18" ht="64" x14ac:dyDescent="0.2">
      <c r="A194" s="2">
        <v>193</v>
      </c>
      <c r="B194" s="30" t="s">
        <v>271</v>
      </c>
      <c r="C194" s="36" t="s">
        <v>273</v>
      </c>
      <c r="D194" s="2" t="s">
        <v>30</v>
      </c>
      <c r="E194" s="2" t="s">
        <v>54</v>
      </c>
      <c r="M194" s="31" t="str" cm="1">
        <f t="array" ref="M194">PAGE_NAME(B194)</f>
        <v>b2b</v>
      </c>
      <c r="N194" s="31" t="str" cm="1">
        <f t="array" ref="N194">SECTION_NAME(B194)</f>
        <v>constructing-authentication-token</v>
      </c>
      <c r="O194" s="5" t="str">
        <f t="shared" ref="O194" si="114">IF(ISNUMBER(SEARCH("MAY", C194)), "MAY", IF(ISNUMBER(SEARCH("SHOULD", C194)), "SHOULD", IF(ISNUMBER(SEARCH("SHALL", C194)), "SHALL", IF(ISNUMBER(SEARCH("SHOULD NOT", C194)), "SHOULD NOT", IF(ISNUMBER(SEARCH("SHALL NOT", C194)), "SHALL NOT", "")))))</f>
        <v/>
      </c>
      <c r="P194" s="5" t="str">
        <f t="shared" ref="P194" si="115">IF(ISNUMBER(SEARCH("server", C194)), "Server", IF(ISNUMBER(SEARCH("Server", C194)), "Server", IF(ISNUMBER(SEARCH("client", C194)), "Client", IF(ISNUMBER(SEARCH("Client", C194)), "Client", IF(ISNUMBER(SEARCH("US Core Responder", C194)), "Server", IF(ISNUMBER(SEARCH("US Core Requestor", C194)), "Client", ""))))))</f>
        <v/>
      </c>
      <c r="R194" s="5" t="s">
        <v>444</v>
      </c>
    </row>
    <row r="195" spans="1:18" ht="64" x14ac:dyDescent="0.2">
      <c r="A195" s="2">
        <v>194</v>
      </c>
      <c r="B195" s="30" t="s">
        <v>271</v>
      </c>
      <c r="C195" s="36" t="s">
        <v>274</v>
      </c>
      <c r="D195" s="2" t="s">
        <v>30</v>
      </c>
      <c r="E195" s="2" t="s">
        <v>54</v>
      </c>
      <c r="M195" s="31" t="str" cm="1">
        <f t="array" ref="M195">PAGE_NAME(B195)</f>
        <v>b2b</v>
      </c>
      <c r="N195" s="31" t="str" cm="1">
        <f t="array" ref="N195">SECTION_NAME(B195)</f>
        <v>constructing-authentication-token</v>
      </c>
      <c r="O195" s="5" t="str">
        <f t="shared" ref="O195:O199" si="116">IF(ISNUMBER(SEARCH("MAY", C195)), "MAY", IF(ISNUMBER(SEARCH("SHOULD", C195)), "SHOULD", IF(ISNUMBER(SEARCH("SHALL", C195)), "SHALL", IF(ISNUMBER(SEARCH("SHOULD NOT", C195)), "SHOULD NOT", IF(ISNUMBER(SEARCH("SHALL NOT", C195)), "SHALL NOT", "")))))</f>
        <v/>
      </c>
      <c r="P195" s="5" t="str">
        <f t="shared" ref="P195:P199" si="117">IF(ISNUMBER(SEARCH("server", C195)), "Server", IF(ISNUMBER(SEARCH("Server", C195)), "Server", IF(ISNUMBER(SEARCH("client", C195)), "Client", IF(ISNUMBER(SEARCH("Client", C195)), "Client", IF(ISNUMBER(SEARCH("US Core Responder", C195)), "Server", IF(ISNUMBER(SEARCH("US Core Requestor", C195)), "Client", ""))))))</f>
        <v/>
      </c>
      <c r="R195" s="5" t="s">
        <v>444</v>
      </c>
    </row>
    <row r="196" spans="1:18" ht="64" x14ac:dyDescent="0.2">
      <c r="A196" s="2">
        <v>195</v>
      </c>
      <c r="B196" s="30" t="s">
        <v>271</v>
      </c>
      <c r="C196" s="36" t="s">
        <v>275</v>
      </c>
      <c r="D196" s="2" t="s">
        <v>30</v>
      </c>
      <c r="E196" s="2" t="s">
        <v>54</v>
      </c>
      <c r="M196" s="31" t="str" cm="1">
        <f t="array" ref="M196">PAGE_NAME(B196)</f>
        <v>b2b</v>
      </c>
      <c r="N196" s="31" t="str" cm="1">
        <f t="array" ref="N196">SECTION_NAME(B196)</f>
        <v>constructing-authentication-token</v>
      </c>
      <c r="O196" s="5" t="str">
        <f t="shared" si="116"/>
        <v/>
      </c>
      <c r="P196" s="5" t="str">
        <f t="shared" si="117"/>
        <v/>
      </c>
      <c r="R196" s="5" t="s">
        <v>444</v>
      </c>
    </row>
    <row r="197" spans="1:18" ht="64" x14ac:dyDescent="0.2">
      <c r="A197" s="2">
        <v>196</v>
      </c>
      <c r="B197" s="30" t="s">
        <v>271</v>
      </c>
      <c r="C197" s="36" t="s">
        <v>276</v>
      </c>
      <c r="D197" s="2" t="s">
        <v>30</v>
      </c>
      <c r="E197" s="2" t="s">
        <v>54</v>
      </c>
      <c r="M197" s="31" t="str" cm="1">
        <f t="array" ref="M197">PAGE_NAME(B197)</f>
        <v>b2b</v>
      </c>
      <c r="N197" s="31" t="str" cm="1">
        <f t="array" ref="N197">SECTION_NAME(B197)</f>
        <v>constructing-authentication-token</v>
      </c>
      <c r="O197" s="5" t="str">
        <f t="shared" si="116"/>
        <v/>
      </c>
      <c r="P197" s="5" t="str">
        <f t="shared" si="117"/>
        <v/>
      </c>
      <c r="R197" s="5" t="s">
        <v>444</v>
      </c>
    </row>
    <row r="198" spans="1:18" ht="64" x14ac:dyDescent="0.2">
      <c r="A198" s="2">
        <v>197</v>
      </c>
      <c r="B198" s="30" t="s">
        <v>271</v>
      </c>
      <c r="C198" s="36" t="s">
        <v>277</v>
      </c>
      <c r="D198" s="2" t="s">
        <v>30</v>
      </c>
      <c r="E198" s="2" t="s">
        <v>54</v>
      </c>
      <c r="M198" s="31" t="str" cm="1">
        <f t="array" ref="M198">PAGE_NAME(B198)</f>
        <v>b2b</v>
      </c>
      <c r="N198" s="31" t="str" cm="1">
        <f t="array" ref="N198">SECTION_NAME(B198)</f>
        <v>constructing-authentication-token</v>
      </c>
      <c r="O198" s="5" t="str">
        <f t="shared" si="116"/>
        <v/>
      </c>
      <c r="P198" s="5" t="str">
        <f t="shared" si="117"/>
        <v/>
      </c>
      <c r="R198" s="5" t="s">
        <v>444</v>
      </c>
    </row>
    <row r="199" spans="1:18" ht="85" x14ac:dyDescent="0.2">
      <c r="A199" s="2">
        <v>198</v>
      </c>
      <c r="B199" s="30" t="s">
        <v>271</v>
      </c>
      <c r="C199" s="36" t="s">
        <v>278</v>
      </c>
      <c r="D199" s="2" t="s">
        <v>30</v>
      </c>
      <c r="E199" s="2" t="s">
        <v>54</v>
      </c>
      <c r="M199" s="31" t="str" cm="1">
        <f t="array" ref="M199">PAGE_NAME(B199)</f>
        <v>b2b</v>
      </c>
      <c r="N199" s="31" t="str" cm="1">
        <f t="array" ref="N199">SECTION_NAME(B199)</f>
        <v>constructing-authentication-token</v>
      </c>
      <c r="O199" s="5" t="str">
        <f t="shared" si="116"/>
        <v/>
      </c>
      <c r="P199" s="5" t="str">
        <f t="shared" si="117"/>
        <v>Client</v>
      </c>
      <c r="R199" s="5" t="s">
        <v>444</v>
      </c>
    </row>
    <row r="200" spans="1:18" ht="68" x14ac:dyDescent="0.2">
      <c r="A200" s="2">
        <v>199</v>
      </c>
      <c r="B200" s="30" t="s">
        <v>271</v>
      </c>
      <c r="C200" s="36" t="s">
        <v>279</v>
      </c>
      <c r="D200" s="2" t="s">
        <v>30</v>
      </c>
      <c r="E200" s="2" t="s">
        <v>54</v>
      </c>
      <c r="M200" s="31" t="str" cm="1">
        <f t="array" ref="M200">PAGE_NAME(B200)</f>
        <v>b2b</v>
      </c>
      <c r="N200" s="31" t="str" cm="1">
        <f t="array" ref="N200">SECTION_NAME(B200)</f>
        <v>constructing-authentication-token</v>
      </c>
      <c r="O200" s="5" t="str">
        <f>IF(ISNUMBER(SEARCH("MAY", C200)), "MAY", IF(ISNUMBER(SEARCH("SHOULD", C200)), "SHOULD", IF(ISNUMBER(SEARCH("SHALL", C200)), "SHALL", IF(ISNUMBER(SEARCH("SHOULD NOT", C200)), "SHOULD NOT", IF(ISNUMBER(SEARCH("SHALL NOT", C200)), "SHALL NOT", "")))))</f>
        <v>SHALL</v>
      </c>
      <c r="P200" s="5" t="str">
        <f>IF(ISNUMBER(SEARCH("server", C200)), "Server", IF(ISNUMBER(SEARCH("Server", C200)), "Server", IF(ISNUMBER(SEARCH("client", C200)), "Client", IF(ISNUMBER(SEARCH("Client", C200)), "Client", IF(ISNUMBER(SEARCH("US Core Responder", C200)), "Server", IF(ISNUMBER(SEARCH("US Core Requestor", C200)), "Client", ""))))))</f>
        <v>Client</v>
      </c>
      <c r="R200" s="5" t="s">
        <v>444</v>
      </c>
    </row>
    <row r="201" spans="1:18" ht="17" x14ac:dyDescent="0.2">
      <c r="A201" s="2">
        <v>200</v>
      </c>
      <c r="B201" s="30"/>
      <c r="D201" s="2" t="s">
        <v>172</v>
      </c>
    </row>
    <row r="202" spans="1:18" ht="17" x14ac:dyDescent="0.2">
      <c r="A202" s="2">
        <v>201</v>
      </c>
      <c r="B202" s="30"/>
      <c r="D202" s="2" t="s">
        <v>172</v>
      </c>
    </row>
    <row r="203" spans="1:18" ht="68" x14ac:dyDescent="0.2">
      <c r="A203" s="2">
        <v>202</v>
      </c>
      <c r="B203" s="30" t="s">
        <v>280</v>
      </c>
      <c r="C203" s="36" t="s">
        <v>281</v>
      </c>
      <c r="D203" s="2" t="s">
        <v>30</v>
      </c>
      <c r="E203" s="2" t="s">
        <v>54</v>
      </c>
      <c r="M203" s="31" t="str" cm="1">
        <f t="array" ref="M203">PAGE_NAME(B203)</f>
        <v>b2b</v>
      </c>
      <c r="N203" s="31" t="str" cm="1">
        <f t="array" ref="N203">SECTION_NAME(B203)</f>
        <v>b2b-authorization-extension-object</v>
      </c>
      <c r="O203" s="5" t="str">
        <f t="shared" si="48"/>
        <v/>
      </c>
      <c r="P203" s="5" t="str">
        <f t="shared" si="49"/>
        <v>Client</v>
      </c>
      <c r="R203" s="5" t="s">
        <v>444</v>
      </c>
    </row>
    <row r="204" spans="1:18" ht="119" x14ac:dyDescent="0.2">
      <c r="A204" s="2">
        <v>203</v>
      </c>
      <c r="B204" s="30" t="s">
        <v>280</v>
      </c>
      <c r="C204" s="36" t="s">
        <v>282</v>
      </c>
      <c r="D204" s="2" t="s">
        <v>30</v>
      </c>
      <c r="E204" s="2" t="s">
        <v>54</v>
      </c>
      <c r="M204" s="31" t="str" cm="1">
        <f t="array" ref="M204">PAGE_NAME(B204)</f>
        <v>b2b</v>
      </c>
      <c r="N204" s="31" t="str" cm="1">
        <f t="array" ref="N204">SECTION_NAME(B204)</f>
        <v>b2b-authorization-extension-object</v>
      </c>
      <c r="O204" s="5" t="str">
        <f t="shared" ref="O204" si="118">IF(ISNUMBER(SEARCH("MAY", C204)), "MAY", IF(ISNUMBER(SEARCH("SHOULD", C204)), "SHOULD", IF(ISNUMBER(SEARCH("SHALL", C204)), "SHALL", IF(ISNUMBER(SEARCH("SHOULD NOT", C204)), "SHOULD NOT", IF(ISNUMBER(SEARCH("SHALL NOT", C204)), "SHALL NOT", "")))))</f>
        <v>SHALL</v>
      </c>
      <c r="P204" s="5" t="str">
        <f t="shared" ref="P204" si="119">IF(ISNUMBER(SEARCH("server", C204)), "Server", IF(ISNUMBER(SEARCH("Server", C204)), "Server", IF(ISNUMBER(SEARCH("client", C204)), "Client", IF(ISNUMBER(SEARCH("Client", C204)), "Client", IF(ISNUMBER(SEARCH("US Core Responder", C204)), "Server", IF(ISNUMBER(SEARCH("US Core Requestor", C204)), "Client", ""))))))</f>
        <v>Client</v>
      </c>
      <c r="R204" s="5" t="s">
        <v>444</v>
      </c>
    </row>
    <row r="205" spans="1:18" ht="102" x14ac:dyDescent="0.2">
      <c r="A205" s="2">
        <v>204</v>
      </c>
      <c r="B205" s="30" t="s">
        <v>280</v>
      </c>
      <c r="C205" s="36" t="s">
        <v>283</v>
      </c>
      <c r="D205" s="2" t="s">
        <v>30</v>
      </c>
      <c r="E205" s="2" t="s">
        <v>54</v>
      </c>
      <c r="M205" s="31" t="str" cm="1">
        <f t="array" ref="M205">PAGE_NAME(B205)</f>
        <v>b2b</v>
      </c>
      <c r="N205" s="31" t="str" cm="1">
        <f t="array" ref="N205">SECTION_NAME(B205)</f>
        <v>b2b-authorization-extension-object</v>
      </c>
      <c r="O205" s="5" t="str">
        <f t="shared" ref="O205" si="120">IF(ISNUMBER(SEARCH("MAY", C205)), "MAY", IF(ISNUMBER(SEARCH("SHOULD", C205)), "SHOULD", IF(ISNUMBER(SEARCH("SHALL", C205)), "SHALL", IF(ISNUMBER(SEARCH("SHOULD NOT", C205)), "SHOULD NOT", IF(ISNUMBER(SEARCH("SHALL NOT", C205)), "SHALL NOT", "")))))</f>
        <v>SHALL</v>
      </c>
      <c r="P205" s="5" t="str">
        <f t="shared" ref="P205" si="121">IF(ISNUMBER(SEARCH("server", C205)), "Server", IF(ISNUMBER(SEARCH("Server", C205)), "Server", IF(ISNUMBER(SEARCH("client", C205)), "Client", IF(ISNUMBER(SEARCH("Client", C205)), "Client", IF(ISNUMBER(SEARCH("US Core Responder", C205)), "Server", IF(ISNUMBER(SEARCH("US Core Requestor", C205)), "Client", ""))))))</f>
        <v>Client</v>
      </c>
      <c r="R205" s="5" t="s">
        <v>444</v>
      </c>
    </row>
    <row r="206" spans="1:18" ht="102" x14ac:dyDescent="0.2">
      <c r="A206" s="2">
        <v>205</v>
      </c>
      <c r="B206" s="30" t="s">
        <v>280</v>
      </c>
      <c r="C206" s="36" t="s">
        <v>284</v>
      </c>
      <c r="D206" s="2" t="s">
        <v>30</v>
      </c>
      <c r="E206" s="2" t="s">
        <v>54</v>
      </c>
      <c r="M206" s="31" t="str" cm="1">
        <f t="array" ref="M206">PAGE_NAME(B206)</f>
        <v>b2b</v>
      </c>
      <c r="N206" s="31" t="str" cm="1">
        <f t="array" ref="N206">SECTION_NAME(B206)</f>
        <v>b2b-authorization-extension-object</v>
      </c>
      <c r="O206" s="5" t="str">
        <f>IF(ISNUMBER(SEARCH("MAY", C206)), "MAY", IF(ISNUMBER(SEARCH("SHOULD", C206)), "SHOULD", IF(ISNUMBER(SEARCH("SHALL", C206)), "SHALL", IF(ISNUMBER(SEARCH("SHOULD NOT", C206)), "SHOULD NOT", IF(ISNUMBER(SEARCH("SHALL NOT", C206)), "SHALL NOT", "")))))</f>
        <v>SHALL</v>
      </c>
      <c r="P206" s="5" t="str">
        <f>IF(ISNUMBER(SEARCH("server", C206)), "Server", IF(ISNUMBER(SEARCH("Server", C206)), "Server", IF(ISNUMBER(SEARCH("client", C206)), "Client", IF(ISNUMBER(SEARCH("Client", C206)), "Client", IF(ISNUMBER(SEARCH("US Core Responder", C206)), "Server", IF(ISNUMBER(SEARCH("US Core Requestor", C206)), "Client", ""))))))</f>
        <v>Client</v>
      </c>
      <c r="R206" s="5" t="s">
        <v>444</v>
      </c>
    </row>
    <row r="207" spans="1:18" ht="85" x14ac:dyDescent="0.2">
      <c r="A207" s="2">
        <v>206</v>
      </c>
      <c r="B207" s="30" t="s">
        <v>280</v>
      </c>
      <c r="C207" s="36" t="s">
        <v>285</v>
      </c>
      <c r="D207" s="2" t="s">
        <v>30</v>
      </c>
      <c r="E207" s="2" t="s">
        <v>54</v>
      </c>
      <c r="M207" s="31" t="str" cm="1">
        <f t="array" ref="M207">PAGE_NAME(B207)</f>
        <v>b2b</v>
      </c>
      <c r="N207" s="31" t="str" cm="1">
        <f t="array" ref="N207">SECTION_NAME(B207)</f>
        <v>b2b-authorization-extension-object</v>
      </c>
      <c r="O207" s="5" t="str">
        <f t="shared" ref="O207" si="122">IF(ISNUMBER(SEARCH("MAY", C207)), "MAY", IF(ISNUMBER(SEARCH("SHOULD", C207)), "SHOULD", IF(ISNUMBER(SEARCH("SHALL", C207)), "SHALL", IF(ISNUMBER(SEARCH("SHOULD NOT", C207)), "SHOULD NOT", IF(ISNUMBER(SEARCH("SHALL NOT", C207)), "SHALL NOT", "")))))</f>
        <v>SHALL</v>
      </c>
      <c r="P207" s="5" t="str">
        <f t="shared" ref="P207" si="123">IF(ISNUMBER(SEARCH("server", C207)), "Server", IF(ISNUMBER(SEARCH("Server", C207)), "Server", IF(ISNUMBER(SEARCH("client", C207)), "Client", IF(ISNUMBER(SEARCH("Client", C207)), "Client", IF(ISNUMBER(SEARCH("US Core Responder", C207)), "Server", IF(ISNUMBER(SEARCH("US Core Requestor", C207)), "Client", ""))))))</f>
        <v>Client</v>
      </c>
      <c r="R207" s="5" t="s">
        <v>444</v>
      </c>
    </row>
    <row r="208" spans="1:18" ht="102" x14ac:dyDescent="0.2">
      <c r="A208" s="2">
        <v>207</v>
      </c>
      <c r="B208" s="30" t="s">
        <v>280</v>
      </c>
      <c r="C208" s="36" t="s">
        <v>286</v>
      </c>
      <c r="D208" s="2" t="s">
        <v>30</v>
      </c>
      <c r="E208" s="2" t="s">
        <v>54</v>
      </c>
      <c r="M208" s="31" t="str" cm="1">
        <f t="array" ref="M208">PAGE_NAME(B208)</f>
        <v>b2b</v>
      </c>
      <c r="N208" s="31" t="str" cm="1">
        <f t="array" ref="N208">SECTION_NAME(B208)</f>
        <v>b2b-authorization-extension-object</v>
      </c>
      <c r="O208" s="5" t="str">
        <f>IF(ISNUMBER(SEARCH("MAY", C208)), "MAY", IF(ISNUMBER(SEARCH("SHOULD", C208)), "SHOULD", IF(ISNUMBER(SEARCH("SHALL", C208)), "SHALL", IF(ISNUMBER(SEARCH("SHOULD NOT", C208)), "SHOULD NOT", IF(ISNUMBER(SEARCH("SHALL NOT", C208)), "SHALL NOT", "")))))</f>
        <v>SHALL</v>
      </c>
      <c r="P208" s="5" t="str">
        <f>IF(ISNUMBER(SEARCH("server", C208)), "Server", IF(ISNUMBER(SEARCH("Server", C208)), "Server", IF(ISNUMBER(SEARCH("client", C208)), "Client", IF(ISNUMBER(SEARCH("Client", C208)), "Client", IF(ISNUMBER(SEARCH("US Core Responder", C208)), "Server", IF(ISNUMBER(SEARCH("US Core Requestor", C208)), "Client", ""))))))</f>
        <v>Client</v>
      </c>
      <c r="R208" s="5" t="s">
        <v>444</v>
      </c>
    </row>
    <row r="209" spans="1:18" ht="204" x14ac:dyDescent="0.2">
      <c r="A209" s="2">
        <v>208</v>
      </c>
      <c r="B209" s="30" t="s">
        <v>280</v>
      </c>
      <c r="C209" s="36" t="s">
        <v>287</v>
      </c>
      <c r="D209" s="2" t="s">
        <v>30</v>
      </c>
      <c r="E209" s="2" t="s">
        <v>288</v>
      </c>
      <c r="M209" s="31" t="str" cm="1">
        <f t="array" ref="M209">PAGE_NAME(B209)</f>
        <v>b2b</v>
      </c>
      <c r="N209" s="31" t="str" cm="1">
        <f t="array" ref="N209">SECTION_NAME(B209)</f>
        <v>b2b-authorization-extension-object</v>
      </c>
      <c r="O209" s="5" t="str">
        <f t="shared" ref="O209" si="124">IF(ISNUMBER(SEARCH("MAY", C209)), "MAY", IF(ISNUMBER(SEARCH("SHOULD", C209)), "SHOULD", IF(ISNUMBER(SEARCH("SHALL", C209)), "SHALL", IF(ISNUMBER(SEARCH("SHOULD NOT", C209)), "SHOULD NOT", IF(ISNUMBER(SEARCH("SHALL NOT", C209)), "SHALL NOT", "")))))</f>
        <v>SHOULD</v>
      </c>
      <c r="P209" s="5" t="str">
        <f t="shared" ref="P209" si="125">IF(ISNUMBER(SEARCH("server", C209)), "Server", IF(ISNUMBER(SEARCH("Server", C209)), "Server", IF(ISNUMBER(SEARCH("client", C209)), "Client", IF(ISNUMBER(SEARCH("Client", C209)), "Client", IF(ISNUMBER(SEARCH("US Core Responder", C209)), "Server", IF(ISNUMBER(SEARCH("US Core Requestor", C209)), "Client", ""))))))</f>
        <v>Client</v>
      </c>
      <c r="R209" s="5" t="s">
        <v>444</v>
      </c>
    </row>
    <row r="210" spans="1:18" ht="136" x14ac:dyDescent="0.2">
      <c r="A210" s="2">
        <v>209</v>
      </c>
      <c r="B210" s="30" t="s">
        <v>280</v>
      </c>
      <c r="C210" s="36" t="s">
        <v>289</v>
      </c>
      <c r="D210" s="2" t="s">
        <v>37</v>
      </c>
      <c r="E210" s="2" t="s">
        <v>290</v>
      </c>
      <c r="M210" s="31" t="str" cm="1">
        <f t="array" ref="M210">PAGE_NAME(B210)</f>
        <v>b2b</v>
      </c>
      <c r="N210" s="31" t="str" cm="1">
        <f t="array" ref="N210">SECTION_NAME(B210)</f>
        <v>b2b-authorization-extension-object</v>
      </c>
      <c r="O210" s="5" t="str">
        <f>IF(ISNUMBER(SEARCH("MAY", C210)), "MAY", IF(ISNUMBER(SEARCH("SHOULD", C210)), "SHOULD", IF(ISNUMBER(SEARCH("SHALL", C210)), "SHALL", IF(ISNUMBER(SEARCH("SHOULD NOT", C210)), "SHOULD NOT", IF(ISNUMBER(SEARCH("SHALL NOT", C210)), "SHALL NOT", "")))))</f>
        <v>SHOULD</v>
      </c>
      <c r="P210" s="5" t="str">
        <f>IF(ISNUMBER(SEARCH("server", C210)), "Server", IF(ISNUMBER(SEARCH("Server", C210)), "Server", IF(ISNUMBER(SEARCH("client", C210)), "Client", IF(ISNUMBER(SEARCH("Client", C210)), "Client", IF(ISNUMBER(SEARCH("US Core Responder", C210)), "Server", IF(ISNUMBER(SEARCH("US Core Requestor", C210)), "Client", ""))))))</f>
        <v>Client</v>
      </c>
      <c r="R210" s="5" t="s">
        <v>444</v>
      </c>
    </row>
    <row r="211" spans="1:18" ht="136" x14ac:dyDescent="0.2">
      <c r="A211" s="2">
        <v>210</v>
      </c>
      <c r="B211" s="30" t="s">
        <v>280</v>
      </c>
      <c r="C211" s="36" t="s">
        <v>291</v>
      </c>
      <c r="D211" s="2" t="s">
        <v>39</v>
      </c>
      <c r="E211" s="2" t="s">
        <v>54</v>
      </c>
      <c r="M211" s="31" t="str" cm="1">
        <f t="array" ref="M211">PAGE_NAME(B211)</f>
        <v>b2b</v>
      </c>
      <c r="N211" s="31" t="str" cm="1">
        <f t="array" ref="N211">SECTION_NAME(B211)</f>
        <v>b2b-authorization-extension-object</v>
      </c>
      <c r="O211" s="5" t="str">
        <f t="shared" ref="O211" si="126">IF(ISNUMBER(SEARCH("MAY", C211)), "MAY", IF(ISNUMBER(SEARCH("SHOULD", C211)), "SHOULD", IF(ISNUMBER(SEARCH("SHALL", C211)), "SHALL", IF(ISNUMBER(SEARCH("SHOULD NOT", C211)), "SHOULD NOT", IF(ISNUMBER(SEARCH("SHALL NOT", C211)), "SHALL NOT", "")))))</f>
        <v/>
      </c>
      <c r="P211" s="5" t="str">
        <f t="shared" ref="P211" si="127">IF(ISNUMBER(SEARCH("server", C211)), "Server", IF(ISNUMBER(SEARCH("Server", C211)), "Server", IF(ISNUMBER(SEARCH("client", C211)), "Client", IF(ISNUMBER(SEARCH("Client", C211)), "Client", IF(ISNUMBER(SEARCH("US Core Responder", C211)), "Server", IF(ISNUMBER(SEARCH("US Core Requestor", C211)), "Client", ""))))))</f>
        <v>Client</v>
      </c>
      <c r="R211" s="5" t="s">
        <v>444</v>
      </c>
    </row>
    <row r="212" spans="1:18" ht="102" x14ac:dyDescent="0.2">
      <c r="A212" s="2">
        <v>211</v>
      </c>
      <c r="B212" s="30" t="s">
        <v>280</v>
      </c>
      <c r="C212" s="36" t="s">
        <v>292</v>
      </c>
      <c r="D212" s="2" t="s">
        <v>39</v>
      </c>
      <c r="E212" s="2" t="s">
        <v>54</v>
      </c>
      <c r="M212" s="31" t="str" cm="1">
        <f t="array" ref="M212">PAGE_NAME(B212)</f>
        <v>b2b</v>
      </c>
      <c r="N212" s="31" t="str" cm="1">
        <f t="array" ref="N212">SECTION_NAME(B212)</f>
        <v>b2b-authorization-extension-object</v>
      </c>
      <c r="O212" s="5" t="str">
        <f>IF(ISNUMBER(SEARCH("MAY", C212)), "MAY", IF(ISNUMBER(SEARCH("SHOULD", C212)), "SHOULD", IF(ISNUMBER(SEARCH("SHALL", C212)), "SHALL", IF(ISNUMBER(SEARCH("SHOULD NOT", C212)), "SHOULD NOT", IF(ISNUMBER(SEARCH("SHALL NOT", C212)), "SHALL NOT", "")))))</f>
        <v/>
      </c>
      <c r="P212" s="5" t="str">
        <f>IF(ISNUMBER(SEARCH("server", C212)), "Server", IF(ISNUMBER(SEARCH("Server", C212)), "Server", IF(ISNUMBER(SEARCH("client", C212)), "Client", IF(ISNUMBER(SEARCH("Client", C212)), "Client", IF(ISNUMBER(SEARCH("US Core Responder", C212)), "Server", IF(ISNUMBER(SEARCH("US Core Requestor", C212)), "Client", ""))))))</f>
        <v>Client</v>
      </c>
      <c r="R212" s="5" t="s">
        <v>444</v>
      </c>
    </row>
    <row r="213" spans="1:18" ht="85" x14ac:dyDescent="0.2">
      <c r="A213" s="2">
        <v>212</v>
      </c>
      <c r="B213" s="30" t="s">
        <v>280</v>
      </c>
      <c r="C213" s="36" t="s">
        <v>293</v>
      </c>
      <c r="D213" s="2" t="s">
        <v>30</v>
      </c>
      <c r="E213" s="2" t="s">
        <v>54</v>
      </c>
      <c r="M213" s="31" t="str" cm="1">
        <f t="array" ref="M213">PAGE_NAME(B213)</f>
        <v>b2b</v>
      </c>
      <c r="N213" s="31" t="str" cm="1">
        <f t="array" ref="N213">SECTION_NAME(B213)</f>
        <v>b2b-authorization-extension-object</v>
      </c>
      <c r="O213" s="5" t="str">
        <f t="shared" ref="O213" si="128">IF(ISNUMBER(SEARCH("MAY", C213)), "MAY", IF(ISNUMBER(SEARCH("SHOULD", C213)), "SHOULD", IF(ISNUMBER(SEARCH("SHALL", C213)), "SHALL", IF(ISNUMBER(SEARCH("SHOULD NOT", C213)), "SHOULD NOT", IF(ISNUMBER(SEARCH("SHALL NOT", C213)), "SHALL NOT", "")))))</f>
        <v>SHALL</v>
      </c>
      <c r="P213" s="5" t="str">
        <f t="shared" ref="P213" si="129">IF(ISNUMBER(SEARCH("server", C213)), "Server", IF(ISNUMBER(SEARCH("Server", C213)), "Server", IF(ISNUMBER(SEARCH("client", C213)), "Client", IF(ISNUMBER(SEARCH("Client", C213)), "Client", IF(ISNUMBER(SEARCH("US Core Responder", C213)), "Server", IF(ISNUMBER(SEARCH("US Core Requestor", C213)), "Client", ""))))))</f>
        <v>Client</v>
      </c>
      <c r="R213" s="5" t="s">
        <v>444</v>
      </c>
    </row>
    <row r="214" spans="1:18" ht="102" x14ac:dyDescent="0.2">
      <c r="A214" s="2">
        <v>213</v>
      </c>
      <c r="B214" s="30" t="s">
        <v>280</v>
      </c>
      <c r="C214" s="36" t="s">
        <v>294</v>
      </c>
      <c r="D214" s="2" t="s">
        <v>30</v>
      </c>
      <c r="E214" s="2" t="s">
        <v>288</v>
      </c>
      <c r="M214" s="31" t="str" cm="1">
        <f t="array" ref="M214">PAGE_NAME(B214)</f>
        <v>b2b</v>
      </c>
      <c r="N214" s="31" t="str" cm="1">
        <f t="array" ref="N214">SECTION_NAME(B214)</f>
        <v>b2b-authorization-extension-object</v>
      </c>
      <c r="O214" s="5" t="str">
        <f>IF(ISNUMBER(SEARCH("MAY", C214)), "MAY", IF(ISNUMBER(SEARCH("SHOULD", C214)), "SHOULD", IF(ISNUMBER(SEARCH("SHALL", C214)), "SHALL", IF(ISNUMBER(SEARCH("SHOULD NOT", C214)), "SHOULD NOT", IF(ISNUMBER(SEARCH("SHALL NOT", C214)), "SHALL NOT", "")))))</f>
        <v>SHALL</v>
      </c>
      <c r="P214" s="5" t="str">
        <f>IF(ISNUMBER(SEARCH("server", C214)), "Server", IF(ISNUMBER(SEARCH("Server", C214)), "Server", IF(ISNUMBER(SEARCH("client", C214)), "Client", IF(ISNUMBER(SEARCH("Client", C214)), "Client", IF(ISNUMBER(SEARCH("US Core Responder", C214)), "Server", IF(ISNUMBER(SEARCH("US Core Requestor", C214)), "Client", ""))))))</f>
        <v>Client</v>
      </c>
      <c r="R214" s="5" t="s">
        <v>444</v>
      </c>
    </row>
    <row r="215" spans="1:18" ht="102" x14ac:dyDescent="0.2">
      <c r="A215" s="2">
        <v>214</v>
      </c>
      <c r="B215" s="30" t="s">
        <v>280</v>
      </c>
      <c r="C215" s="36" t="s">
        <v>295</v>
      </c>
      <c r="D215" s="2" t="s">
        <v>30</v>
      </c>
      <c r="E215" s="2" t="s">
        <v>54</v>
      </c>
      <c r="M215" s="31" t="str" cm="1">
        <f t="array" ref="M215">PAGE_NAME(B215)</f>
        <v>b2b</v>
      </c>
      <c r="N215" s="31" t="str" cm="1">
        <f t="array" ref="N215">SECTION_NAME(B215)</f>
        <v>b2b-authorization-extension-object</v>
      </c>
      <c r="O215" s="5" t="str">
        <f>IF(ISNUMBER(SEARCH("MAY", C215)), "MAY", IF(ISNUMBER(SEARCH("SHOULD", C215)), "SHOULD", IF(ISNUMBER(SEARCH("SHALL", C215)), "SHALL", IF(ISNUMBER(SEARCH("SHOULD NOT", C215)), "SHOULD NOT", IF(ISNUMBER(SEARCH("SHALL NOT", C215)), "SHALL NOT", "")))))</f>
        <v>SHALL</v>
      </c>
      <c r="P215" s="5" t="str">
        <f>IF(ISNUMBER(SEARCH("server", C215)), "Server", IF(ISNUMBER(SEARCH("Server", C215)), "Server", IF(ISNUMBER(SEARCH("client", C215)), "Client", IF(ISNUMBER(SEARCH("Client", C215)), "Client", IF(ISNUMBER(SEARCH("US Core Responder", C215)), "Server", IF(ISNUMBER(SEARCH("US Core Requestor", C215)), "Client", ""))))))</f>
        <v>Client</v>
      </c>
      <c r="R215" s="5" t="s">
        <v>444</v>
      </c>
    </row>
    <row r="216" spans="1:18" ht="68" x14ac:dyDescent="0.2">
      <c r="A216" s="2">
        <v>215</v>
      </c>
      <c r="B216" s="30" t="s">
        <v>280</v>
      </c>
      <c r="C216" s="36" t="s">
        <v>296</v>
      </c>
      <c r="D216" s="2" t="s">
        <v>30</v>
      </c>
      <c r="E216" s="2" t="s">
        <v>54</v>
      </c>
      <c r="M216" s="31" t="str" cm="1">
        <f t="array" ref="M216">PAGE_NAME(B216)</f>
        <v>b2b</v>
      </c>
      <c r="N216" s="31" t="str" cm="1">
        <f t="array" ref="N216">SECTION_NAME(B216)</f>
        <v>b2b-authorization-extension-object</v>
      </c>
      <c r="O216" s="5" t="str">
        <f t="shared" ref="O216" si="130">IF(ISNUMBER(SEARCH("MAY", C216)), "MAY", IF(ISNUMBER(SEARCH("SHOULD", C216)), "SHOULD", IF(ISNUMBER(SEARCH("SHALL", C216)), "SHALL", IF(ISNUMBER(SEARCH("SHOULD NOT", C216)), "SHOULD NOT", IF(ISNUMBER(SEARCH("SHALL NOT", C216)), "SHALL NOT", "")))))</f>
        <v/>
      </c>
      <c r="P216" s="5" t="str">
        <f t="shared" ref="P216" si="131">IF(ISNUMBER(SEARCH("server", C216)), "Server", IF(ISNUMBER(SEARCH("Server", C216)), "Server", IF(ISNUMBER(SEARCH("client", C216)), "Client", IF(ISNUMBER(SEARCH("Client", C216)), "Client", IF(ISNUMBER(SEARCH("US Core Responder", C216)), "Server", IF(ISNUMBER(SEARCH("US Core Requestor", C216)), "Client", ""))))))</f>
        <v>Client</v>
      </c>
      <c r="R216" s="5" t="s">
        <v>444</v>
      </c>
    </row>
    <row r="217" spans="1:18" ht="136" x14ac:dyDescent="0.2">
      <c r="A217" s="2">
        <v>216</v>
      </c>
      <c r="B217" s="30" t="s">
        <v>280</v>
      </c>
      <c r="C217" s="36" t="s">
        <v>297</v>
      </c>
      <c r="D217" s="2" t="s">
        <v>37</v>
      </c>
      <c r="E217" s="2" t="s">
        <v>290</v>
      </c>
      <c r="M217" s="31" t="str" cm="1">
        <f t="array" ref="M217">PAGE_NAME(B217)</f>
        <v>b2b</v>
      </c>
      <c r="N217" s="31" t="str" cm="1">
        <f t="array" ref="N217">SECTION_NAME(B217)</f>
        <v>b2b-authorization-extension-object</v>
      </c>
      <c r="O217" s="5" t="str">
        <f>IF(ISNUMBER(SEARCH("MAY", C217)), "MAY", IF(ISNUMBER(SEARCH("SHOULD", C217)), "SHOULD", IF(ISNUMBER(SEARCH("SHALL", C217)), "SHALL", IF(ISNUMBER(SEARCH("SHOULD NOT", C217)), "SHOULD NOT", IF(ISNUMBER(SEARCH("SHALL NOT", C217)), "SHALL NOT", "")))))</f>
        <v>SHOULD</v>
      </c>
      <c r="P217" s="5" t="str">
        <f>IF(ISNUMBER(SEARCH("server", C217)), "Server", IF(ISNUMBER(SEARCH("Server", C217)), "Server", IF(ISNUMBER(SEARCH("client", C217)), "Client", IF(ISNUMBER(SEARCH("Client", C217)), "Client", IF(ISNUMBER(SEARCH("US Core Responder", C217)), "Server", IF(ISNUMBER(SEARCH("US Core Requestor", C217)), "Client", ""))))))</f>
        <v>Client</v>
      </c>
      <c r="R217" s="5" t="s">
        <v>444</v>
      </c>
    </row>
    <row r="218" spans="1:18" ht="136" x14ac:dyDescent="0.2">
      <c r="A218" s="2">
        <v>217</v>
      </c>
      <c r="B218" s="30" t="s">
        <v>280</v>
      </c>
      <c r="C218" s="36" t="s">
        <v>298</v>
      </c>
      <c r="D218" s="2" t="s">
        <v>39</v>
      </c>
      <c r="E218" s="2" t="s">
        <v>54</v>
      </c>
      <c r="M218" s="31" t="str" cm="1">
        <f t="array" ref="M218">PAGE_NAME(B218)</f>
        <v>b2b</v>
      </c>
      <c r="N218" s="31" t="str" cm="1">
        <f t="array" ref="N218">SECTION_NAME(B218)</f>
        <v>b2b-authorization-extension-object</v>
      </c>
      <c r="O218" s="5" t="str">
        <f t="shared" ref="O218" si="132">IF(ISNUMBER(SEARCH("MAY", C218)), "MAY", IF(ISNUMBER(SEARCH("SHOULD", C218)), "SHOULD", IF(ISNUMBER(SEARCH("SHALL", C218)), "SHALL", IF(ISNUMBER(SEARCH("SHOULD NOT", C218)), "SHOULD NOT", IF(ISNUMBER(SEARCH("SHALL NOT", C218)), "SHALL NOT", "")))))</f>
        <v>SHALL</v>
      </c>
      <c r="P218" s="5" t="str">
        <f t="shared" ref="P218" si="133">IF(ISNUMBER(SEARCH("server", C218)), "Server", IF(ISNUMBER(SEARCH("Server", C218)), "Server", IF(ISNUMBER(SEARCH("client", C218)), "Client", IF(ISNUMBER(SEARCH("Client", C218)), "Client", IF(ISNUMBER(SEARCH("US Core Responder", C218)), "Server", IF(ISNUMBER(SEARCH("US Core Requestor", C218)), "Client", ""))))))</f>
        <v>Client</v>
      </c>
      <c r="R218" s="5" t="s">
        <v>444</v>
      </c>
    </row>
    <row r="219" spans="1:18" ht="306" x14ac:dyDescent="0.2">
      <c r="A219" s="2">
        <v>218</v>
      </c>
      <c r="B219" s="30" t="s">
        <v>280</v>
      </c>
      <c r="C219" s="36" t="s">
        <v>299</v>
      </c>
      <c r="D219" s="2" t="s">
        <v>39</v>
      </c>
      <c r="E219" s="2" t="s">
        <v>54</v>
      </c>
      <c r="M219" s="31" t="str" cm="1">
        <f t="array" ref="M219">PAGE_NAME(B219)</f>
        <v>b2b</v>
      </c>
      <c r="N219" s="31" t="str" cm="1">
        <f t="array" ref="N219">SECTION_NAME(B219)</f>
        <v>b2b-authorization-extension-object</v>
      </c>
      <c r="O219" s="5" t="str">
        <f t="shared" ref="O219" si="134">IF(ISNUMBER(SEARCH("MAY", C219)), "MAY", IF(ISNUMBER(SEARCH("SHOULD", C219)), "SHOULD", IF(ISNUMBER(SEARCH("SHALL", C219)), "SHALL", IF(ISNUMBER(SEARCH("SHOULD NOT", C219)), "SHOULD NOT", IF(ISNUMBER(SEARCH("SHALL NOT", C219)), "SHALL NOT", "")))))</f>
        <v>SHALL</v>
      </c>
      <c r="P219" s="5" t="str">
        <f t="shared" ref="P219" si="135">IF(ISNUMBER(SEARCH("server", C219)), "Server", IF(ISNUMBER(SEARCH("Server", C219)), "Server", IF(ISNUMBER(SEARCH("client", C219)), "Client", IF(ISNUMBER(SEARCH("Client", C219)), "Client", IF(ISNUMBER(SEARCH("US Core Responder", C219)), "Server", IF(ISNUMBER(SEARCH("US Core Requestor", C219)), "Client", ""))))))</f>
        <v>Client</v>
      </c>
      <c r="R219" s="5" t="s">
        <v>444</v>
      </c>
    </row>
    <row r="220" spans="1:18" ht="176.5" customHeight="1" x14ac:dyDescent="0.2">
      <c r="A220" s="2">
        <v>219</v>
      </c>
      <c r="B220" s="30" t="s">
        <v>280</v>
      </c>
      <c r="C220" s="36" t="s">
        <v>300</v>
      </c>
      <c r="D220" s="2" t="s">
        <v>30</v>
      </c>
      <c r="E220" s="2" t="s">
        <v>54</v>
      </c>
      <c r="G220" s="2" t="b">
        <v>1</v>
      </c>
      <c r="M220" s="31" t="str" cm="1">
        <f t="array" ref="M220">PAGE_NAME(B220)</f>
        <v>b2b</v>
      </c>
      <c r="N220" s="31" t="str" cm="1">
        <f t="array" ref="N220">SECTION_NAME(B220)</f>
        <v>b2b-authorization-extension-object</v>
      </c>
      <c r="O220" s="5" t="str">
        <f t="shared" ref="O220" si="136">IF(ISNUMBER(SEARCH("MAY", C220)), "MAY", IF(ISNUMBER(SEARCH("SHOULD", C220)), "SHOULD", IF(ISNUMBER(SEARCH("SHALL", C220)), "SHALL", IF(ISNUMBER(SEARCH("SHOULD NOT", C220)), "SHOULD NOT", IF(ISNUMBER(SEARCH("SHALL NOT", C220)), "SHALL NOT", "")))))</f>
        <v>SHALL</v>
      </c>
      <c r="P220" s="5" t="str">
        <f t="shared" ref="P220" si="137">IF(ISNUMBER(SEARCH("server", C220)), "Server", IF(ISNUMBER(SEARCH("Server", C220)), "Server", IF(ISNUMBER(SEARCH("client", C220)), "Client", IF(ISNUMBER(SEARCH("Client", C220)), "Client", IF(ISNUMBER(SEARCH("US Core Responder", C220)), "Server", IF(ISNUMBER(SEARCH("US Core Requestor", C220)), "Client", ""))))))</f>
        <v/>
      </c>
      <c r="R220" s="5" t="s">
        <v>444</v>
      </c>
    </row>
    <row r="221" spans="1:18" ht="176.5" customHeight="1" x14ac:dyDescent="0.2">
      <c r="A221" s="2">
        <v>220</v>
      </c>
      <c r="B221" s="30" t="s">
        <v>280</v>
      </c>
      <c r="C221" s="36" t="s">
        <v>301</v>
      </c>
      <c r="D221" s="2" t="s">
        <v>30</v>
      </c>
      <c r="E221" s="2" t="s">
        <v>54</v>
      </c>
      <c r="G221" s="2" t="b">
        <v>1</v>
      </c>
      <c r="M221" s="31" t="str" cm="1">
        <f t="array" ref="M221">PAGE_NAME(B221)</f>
        <v>b2b</v>
      </c>
      <c r="N221" s="31" t="str" cm="1">
        <f t="array" ref="N221">SECTION_NAME(B221)</f>
        <v>b2b-authorization-extension-object</v>
      </c>
      <c r="O221" s="5" t="str">
        <f>IF(ISNUMBER(SEARCH("MAY", C221)), "MAY", IF(ISNUMBER(SEARCH("SHOULD", C221)), "SHOULD", IF(ISNUMBER(SEARCH("SHALL", C221)), "SHALL", IF(ISNUMBER(SEARCH("SHOULD NOT", C221)), "SHOULD NOT", IF(ISNUMBER(SEARCH("SHALL NOT", C221)), "SHALL NOT", "")))))</f>
        <v>SHALL</v>
      </c>
      <c r="P221" s="5" t="str">
        <f>IF(ISNUMBER(SEARCH("server", C221)), "Server", IF(ISNUMBER(SEARCH("Server", C221)), "Server", IF(ISNUMBER(SEARCH("client", C221)), "Client", IF(ISNUMBER(SEARCH("Client", C221)), "Client", IF(ISNUMBER(SEARCH("US Core Responder", C221)), "Server", IF(ISNUMBER(SEARCH("US Core Requestor", C221)), "Client", ""))))))</f>
        <v/>
      </c>
      <c r="R221" s="5" t="s">
        <v>444</v>
      </c>
    </row>
    <row r="222" spans="1:18" ht="176.5" customHeight="1" x14ac:dyDescent="0.2">
      <c r="A222" s="2">
        <v>221</v>
      </c>
      <c r="B222" s="30" t="s">
        <v>280</v>
      </c>
      <c r="C222" s="36" t="s">
        <v>302</v>
      </c>
      <c r="D222" s="2" t="s">
        <v>30</v>
      </c>
      <c r="E222" s="2" t="s">
        <v>54</v>
      </c>
      <c r="M222" s="31" t="str" cm="1">
        <f t="array" ref="M222">PAGE_NAME(B222)</f>
        <v>b2b</v>
      </c>
      <c r="N222" s="31" t="str" cm="1">
        <f t="array" ref="N222">SECTION_NAME(B222)</f>
        <v>b2b-authorization-extension-object</v>
      </c>
      <c r="O222" s="5" t="str">
        <f t="shared" ref="O222" si="138">IF(ISNUMBER(SEARCH("MAY", C222)), "MAY", IF(ISNUMBER(SEARCH("SHOULD", C222)), "SHOULD", IF(ISNUMBER(SEARCH("SHALL", C222)), "SHALL", IF(ISNUMBER(SEARCH("SHOULD NOT", C222)), "SHOULD NOT", IF(ISNUMBER(SEARCH("SHALL NOT", C222)), "SHALL NOT", "")))))</f>
        <v>SHALL</v>
      </c>
      <c r="P222" s="5" t="str">
        <f t="shared" ref="P222" si="139">IF(ISNUMBER(SEARCH("server", C222)), "Server", IF(ISNUMBER(SEARCH("Server", C222)), "Server", IF(ISNUMBER(SEARCH("client", C222)), "Client", IF(ISNUMBER(SEARCH("Client", C222)), "Client", IF(ISNUMBER(SEARCH("US Core Responder", C222)), "Server", IF(ISNUMBER(SEARCH("US Core Requestor", C222)), "Client", ""))))))</f>
        <v>Client</v>
      </c>
      <c r="R222" s="5" t="s">
        <v>444</v>
      </c>
    </row>
    <row r="223" spans="1:18" ht="218.5" customHeight="1" x14ac:dyDescent="0.2">
      <c r="A223" s="2">
        <v>222</v>
      </c>
      <c r="B223" s="30" t="s">
        <v>303</v>
      </c>
      <c r="C223" s="36" t="s">
        <v>304</v>
      </c>
      <c r="D223" s="2" t="s">
        <v>30</v>
      </c>
      <c r="E223" s="2" t="s">
        <v>54</v>
      </c>
      <c r="M223" s="31" t="str" cm="1">
        <f t="array" ref="M223">PAGE_NAME(B223)</f>
        <v>b2b</v>
      </c>
      <c r="N223" s="31" t="str" cm="1">
        <f t="array" ref="N223">SECTION_NAME(B223)</f>
        <v>submitting-a-token-request</v>
      </c>
      <c r="O223" s="5" t="str">
        <f t="shared" ref="O223" si="140">IF(ISNUMBER(SEARCH("MAY", C223)), "MAY", IF(ISNUMBER(SEARCH("SHOULD", C223)), "SHOULD", IF(ISNUMBER(SEARCH("SHALL", C223)), "SHALL", IF(ISNUMBER(SEARCH("SHOULD NOT", C223)), "SHOULD NOT", IF(ISNUMBER(SEARCH("SHALL NOT", C223)), "SHALL NOT", "")))))</f>
        <v>SHALL</v>
      </c>
      <c r="P223" s="5" t="str">
        <f t="shared" ref="P223" si="141">IF(ISNUMBER(SEARCH("server", C223)), "Server", IF(ISNUMBER(SEARCH("Server", C223)), "Server", IF(ISNUMBER(SEARCH("client", C223)), "Client", IF(ISNUMBER(SEARCH("Client", C223)), "Client", IF(ISNUMBER(SEARCH("US Core Responder", C223)), "Server", IF(ISNUMBER(SEARCH("US Core Requestor", C223)), "Client", ""))))))</f>
        <v>Server</v>
      </c>
      <c r="R223" s="5" t="s">
        <v>443</v>
      </c>
    </row>
    <row r="224" spans="1:18" ht="178.75" customHeight="1" x14ac:dyDescent="0.2">
      <c r="A224" s="2">
        <v>223</v>
      </c>
      <c r="B224" s="30" t="s">
        <v>305</v>
      </c>
      <c r="C224" s="36" t="s">
        <v>306</v>
      </c>
      <c r="D224" s="2" t="s">
        <v>30</v>
      </c>
      <c r="E224" s="2" t="s">
        <v>54</v>
      </c>
      <c r="M224" s="31" t="str" cm="1">
        <f t="array" ref="M224">PAGE_NAME(B224)</f>
        <v>b2b</v>
      </c>
      <c r="N224" s="31" t="str" cm="1">
        <f t="array" ref="N224">SECTION_NAME(B224)</f>
        <v>client-credentials-grant</v>
      </c>
      <c r="O224" s="5" t="str">
        <f t="shared" ref="O224" si="142">IF(ISNUMBER(SEARCH("MAY", C224)), "MAY", IF(ISNUMBER(SEARCH("SHOULD", C224)), "SHOULD", IF(ISNUMBER(SEARCH("SHALL", C224)), "SHALL", IF(ISNUMBER(SEARCH("SHOULD NOT", C224)), "SHOULD NOT", IF(ISNUMBER(SEARCH("SHALL NOT", C224)), "SHALL NOT", "")))))</f>
        <v>SHALL</v>
      </c>
      <c r="P224" s="5" t="str">
        <f t="shared" ref="P224" si="143">IF(ISNUMBER(SEARCH("server", C224)), "Server", IF(ISNUMBER(SEARCH("Server", C224)), "Server", IF(ISNUMBER(SEARCH("client", C224)), "Client", IF(ISNUMBER(SEARCH("Client", C224)), "Client", IF(ISNUMBER(SEARCH("US Core Responder", C224)), "Server", IF(ISNUMBER(SEARCH("US Core Requestor", C224)), "Client", ""))))))</f>
        <v>Server</v>
      </c>
      <c r="R224" s="5" t="s">
        <v>444</v>
      </c>
    </row>
    <row r="225" spans="1:22" ht="178.75" customHeight="1" x14ac:dyDescent="0.2">
      <c r="A225" s="2">
        <v>224</v>
      </c>
      <c r="B225" s="30" t="s">
        <v>305</v>
      </c>
      <c r="C225" s="36" t="s">
        <v>307</v>
      </c>
      <c r="D225" s="2" t="s">
        <v>236</v>
      </c>
      <c r="E225" s="2" t="s">
        <v>54</v>
      </c>
      <c r="M225" s="31" t="str" cm="1">
        <f t="array" ref="M225">PAGE_NAME(B225)</f>
        <v>b2b</v>
      </c>
      <c r="N225" s="31" t="str" cm="1">
        <f t="array" ref="N225">SECTION_NAME(B225)</f>
        <v>client-credentials-grant</v>
      </c>
      <c r="O225" s="5" t="str">
        <f t="shared" ref="O225" si="144">IF(ISNUMBER(SEARCH("MAY", C225)), "MAY", IF(ISNUMBER(SEARCH("SHOULD", C225)), "SHOULD", IF(ISNUMBER(SEARCH("SHALL", C225)), "SHALL", IF(ISNUMBER(SEARCH("SHOULD NOT", C225)), "SHOULD NOT", IF(ISNUMBER(SEARCH("SHALL NOT", C225)), "SHALL NOT", "")))))</f>
        <v>SHALL</v>
      </c>
      <c r="P225" s="5" t="str">
        <f t="shared" ref="P225" si="145">IF(ISNUMBER(SEARCH("server", C225)), "Server", IF(ISNUMBER(SEARCH("Server", C225)), "Server", IF(ISNUMBER(SEARCH("client", C225)), "Client", IF(ISNUMBER(SEARCH("Client", C225)), "Client", IF(ISNUMBER(SEARCH("US Core Responder", C225)), "Server", IF(ISNUMBER(SEARCH("US Core Requestor", C225)), "Client", ""))))))</f>
        <v>Client</v>
      </c>
      <c r="R225" s="5" t="s">
        <v>444</v>
      </c>
    </row>
    <row r="226" spans="1:22" ht="178.75" customHeight="1" x14ac:dyDescent="0.2">
      <c r="A226" s="2">
        <v>225</v>
      </c>
      <c r="B226" s="30" t="s">
        <v>305</v>
      </c>
      <c r="C226" s="36" t="s">
        <v>308</v>
      </c>
      <c r="D226" s="2" t="s">
        <v>30</v>
      </c>
      <c r="E226" s="2" t="s">
        <v>54</v>
      </c>
      <c r="M226" s="31" t="str" cm="1">
        <f t="array" ref="M226">PAGE_NAME(B226)</f>
        <v>b2b</v>
      </c>
      <c r="N226" s="31" t="str" cm="1">
        <f t="array" ref="N226">SECTION_NAME(B226)</f>
        <v>client-credentials-grant</v>
      </c>
      <c r="O226" s="5" t="str">
        <f t="shared" ref="O226" si="146">IF(ISNUMBER(SEARCH("MAY", C226)), "MAY", IF(ISNUMBER(SEARCH("SHOULD", C226)), "SHOULD", IF(ISNUMBER(SEARCH("SHALL", C226)), "SHALL", IF(ISNUMBER(SEARCH("SHOULD NOT", C226)), "SHOULD NOT", IF(ISNUMBER(SEARCH("SHALL NOT", C226)), "SHALL NOT", "")))))</f>
        <v>SHALL</v>
      </c>
      <c r="P226" s="5" t="str">
        <f t="shared" ref="P226" si="147">IF(ISNUMBER(SEARCH("server", C226)), "Server", IF(ISNUMBER(SEARCH("Server", C226)), "Server", IF(ISNUMBER(SEARCH("client", C226)), "Client", IF(ISNUMBER(SEARCH("Client", C226)), "Client", IF(ISNUMBER(SEARCH("US Core Responder", C226)), "Server", IF(ISNUMBER(SEARCH("US Core Requestor", C226)), "Client", ""))))))</f>
        <v>Client</v>
      </c>
      <c r="R226" s="5" t="s">
        <v>444</v>
      </c>
    </row>
    <row r="227" spans="1:22" ht="178.75" customHeight="1" x14ac:dyDescent="0.2">
      <c r="A227" s="2">
        <v>226</v>
      </c>
      <c r="B227" s="30" t="s">
        <v>305</v>
      </c>
      <c r="C227" s="36" t="s">
        <v>309</v>
      </c>
      <c r="D227" s="2" t="s">
        <v>30</v>
      </c>
      <c r="E227" s="2" t="s">
        <v>54</v>
      </c>
      <c r="M227" s="31" t="str" cm="1">
        <f t="array" ref="M227">PAGE_NAME(B227)</f>
        <v>b2b</v>
      </c>
      <c r="N227" s="31" t="str" cm="1">
        <f t="array" ref="N227">SECTION_NAME(B227)</f>
        <v>client-credentials-grant</v>
      </c>
      <c r="O227" s="5" t="str">
        <f t="shared" ref="O227:O229" si="148">IF(ISNUMBER(SEARCH("MAY", C227)), "MAY", IF(ISNUMBER(SEARCH("SHOULD", C227)), "SHOULD", IF(ISNUMBER(SEARCH("SHALL", C227)), "SHALL", IF(ISNUMBER(SEARCH("SHOULD NOT", C227)), "SHOULD NOT", IF(ISNUMBER(SEARCH("SHALL NOT", C227)), "SHALL NOT", "")))))</f>
        <v>SHALL</v>
      </c>
      <c r="P227" s="5" t="str">
        <f t="shared" ref="P227:P229" si="149">IF(ISNUMBER(SEARCH("server", C227)), "Server", IF(ISNUMBER(SEARCH("Server", C227)), "Server", IF(ISNUMBER(SEARCH("client", C227)), "Client", IF(ISNUMBER(SEARCH("Client", C227)), "Client", IF(ISNUMBER(SEARCH("US Core Responder", C227)), "Server", IF(ISNUMBER(SEARCH("US Core Requestor", C227)), "Client", ""))))))</f>
        <v>Client</v>
      </c>
      <c r="R227" s="5" t="s">
        <v>444</v>
      </c>
    </row>
    <row r="228" spans="1:22" ht="178.75" customHeight="1" x14ac:dyDescent="0.2">
      <c r="A228" s="2">
        <v>227</v>
      </c>
      <c r="B228" s="30" t="s">
        <v>305</v>
      </c>
      <c r="C228" s="36" t="s">
        <v>310</v>
      </c>
      <c r="D228" s="2" t="s">
        <v>30</v>
      </c>
      <c r="E228" s="2" t="s">
        <v>54</v>
      </c>
      <c r="M228" s="31" t="str" cm="1">
        <f t="array" ref="M228">PAGE_NAME(B228)</f>
        <v>b2b</v>
      </c>
      <c r="N228" s="31" t="str" cm="1">
        <f t="array" ref="N228">SECTION_NAME(B228)</f>
        <v>client-credentials-grant</v>
      </c>
      <c r="O228" s="5" t="str">
        <f t="shared" si="148"/>
        <v>SHALL</v>
      </c>
      <c r="P228" s="5" t="str">
        <f t="shared" si="149"/>
        <v>Client</v>
      </c>
      <c r="R228" s="5" t="s">
        <v>444</v>
      </c>
    </row>
    <row r="229" spans="1:22" ht="178.75" customHeight="1" x14ac:dyDescent="0.2">
      <c r="A229" s="2">
        <v>228</v>
      </c>
      <c r="B229" s="30" t="s">
        <v>305</v>
      </c>
      <c r="C229" s="36" t="s">
        <v>311</v>
      </c>
      <c r="D229" s="2" t="s">
        <v>30</v>
      </c>
      <c r="E229" s="2" t="s">
        <v>54</v>
      </c>
      <c r="M229" s="31" t="str" cm="1">
        <f t="array" ref="M229">PAGE_NAME(B229)</f>
        <v>b2b</v>
      </c>
      <c r="N229" s="31" t="str" cm="1">
        <f t="array" ref="N229">SECTION_NAME(B229)</f>
        <v>client-credentials-grant</v>
      </c>
      <c r="O229" s="5" t="str">
        <f t="shared" si="148"/>
        <v>SHALL</v>
      </c>
      <c r="P229" s="5" t="str">
        <f t="shared" si="149"/>
        <v>Client</v>
      </c>
      <c r="R229" s="5" t="s">
        <v>444</v>
      </c>
    </row>
    <row r="230" spans="1:22" ht="178.75" customHeight="1" x14ac:dyDescent="0.2">
      <c r="A230" s="2">
        <v>229</v>
      </c>
      <c r="B230" s="30" t="s">
        <v>312</v>
      </c>
      <c r="C230" s="36" t="s">
        <v>313</v>
      </c>
      <c r="D230" s="2" t="s">
        <v>30</v>
      </c>
      <c r="E230" s="2" t="s">
        <v>45</v>
      </c>
      <c r="M230" s="31" t="str" cm="1">
        <f t="array" ref="M230">PAGE_NAME(B230)</f>
        <v>consumer</v>
      </c>
      <c r="N230" s="31" t="str" cm="1">
        <f t="array" ref="N230">SECTION_NAME(B230)</f>
        <v>submitting-a-token-request</v>
      </c>
      <c r="O230" s="5" t="str">
        <f t="shared" ref="O230" si="150">IF(ISNUMBER(SEARCH("MAY", C230)), "MAY", IF(ISNUMBER(SEARCH("SHOULD", C230)), "SHOULD", IF(ISNUMBER(SEARCH("SHALL", C230)), "SHALL", IF(ISNUMBER(SEARCH("SHOULD NOT", C230)), "SHOULD NOT", IF(ISNUMBER(SEARCH("SHALL NOT", C230)), "SHALL NOT", "")))))</f>
        <v>SHALL</v>
      </c>
      <c r="P230" s="5" t="str">
        <f t="shared" ref="P230" si="151">IF(ISNUMBER(SEARCH("server", C230)), "Server", IF(ISNUMBER(SEARCH("Server", C230)), "Server", IF(ISNUMBER(SEARCH("client", C230)), "Client", IF(ISNUMBER(SEARCH("Client", C230)), "Client", IF(ISNUMBER(SEARCH("US Core Responder", C230)), "Server", IF(ISNUMBER(SEARCH("US Core Requestor", C230)), "Client", ""))))))</f>
        <v>Server</v>
      </c>
      <c r="R230" s="5" t="s">
        <v>450</v>
      </c>
      <c r="V230" s="5" t="s">
        <v>454</v>
      </c>
    </row>
    <row r="231" spans="1:22" ht="178.75" customHeight="1" x14ac:dyDescent="0.2">
      <c r="A231" s="2">
        <v>230</v>
      </c>
      <c r="B231" s="30" t="s">
        <v>314</v>
      </c>
      <c r="C231" s="36" t="s">
        <v>315</v>
      </c>
      <c r="D231" s="2" t="s">
        <v>39</v>
      </c>
      <c r="E231" s="2" t="s">
        <v>45</v>
      </c>
      <c r="M231" s="31" t="str" cm="1">
        <f t="array" ref="M231">PAGE_NAME(B231)</f>
        <v>consumer</v>
      </c>
      <c r="N231" s="31" t="str" cm="1">
        <f t="array" ref="N231">SECTION_NAME(B231)</f>
        <v>submitting-a-token-request</v>
      </c>
      <c r="O231" s="5" t="str">
        <f t="shared" ref="O231" si="152">IF(ISNUMBER(SEARCH("MAY", C231)), "MAY", IF(ISNUMBER(SEARCH("SHOULD", C231)), "SHOULD", IF(ISNUMBER(SEARCH("SHALL", C231)), "SHALL", IF(ISNUMBER(SEARCH("SHOULD NOT", C231)), "SHOULD NOT", IF(ISNUMBER(SEARCH("SHALL NOT", C231)), "SHALL NOT", "")))))</f>
        <v>MAY</v>
      </c>
      <c r="P231" s="5" t="str">
        <f t="shared" ref="P231" si="153">IF(ISNUMBER(SEARCH("server", C231)), "Server", IF(ISNUMBER(SEARCH("Server", C231)), "Server", IF(ISNUMBER(SEARCH("client", C231)), "Client", IF(ISNUMBER(SEARCH("Client", C231)), "Client", IF(ISNUMBER(SEARCH("US Core Responder", C231)), "Server", IF(ISNUMBER(SEARCH("US Core Requestor", C231)), "Client", ""))))))</f>
        <v>Server</v>
      </c>
      <c r="R231" s="5" t="s">
        <v>445</v>
      </c>
    </row>
    <row r="232" spans="1:22" ht="178.75" customHeight="1" x14ac:dyDescent="0.2">
      <c r="A232" s="2">
        <v>231</v>
      </c>
      <c r="B232" s="30" t="s">
        <v>314</v>
      </c>
      <c r="C232" s="36" t="s">
        <v>316</v>
      </c>
      <c r="D232" s="2" t="s">
        <v>39</v>
      </c>
      <c r="E232" s="2" t="s">
        <v>317</v>
      </c>
      <c r="F232" s="2" t="s">
        <v>318</v>
      </c>
      <c r="M232" s="31" t="str" cm="1">
        <f t="array" ref="M232">PAGE_NAME(B232)</f>
        <v>consumer</v>
      </c>
      <c r="N232" s="31" t="str" cm="1">
        <f t="array" ref="N232">SECTION_NAME(B232)</f>
        <v>submitting-a-token-request</v>
      </c>
      <c r="O232" s="5" t="str">
        <f t="shared" ref="O232" si="154">IF(ISNUMBER(SEARCH("MAY", C232)), "MAY", IF(ISNUMBER(SEARCH("SHOULD", C232)), "SHOULD", IF(ISNUMBER(SEARCH("SHALL", C232)), "SHALL", IF(ISNUMBER(SEARCH("SHOULD NOT", C232)), "SHOULD NOT", IF(ISNUMBER(SEARCH("SHALL NOT", C232)), "SHALL NOT", "")))))</f>
        <v>MAY</v>
      </c>
      <c r="P232" s="5" t="str">
        <f t="shared" ref="P232" si="155">IF(ISNUMBER(SEARCH("server", C232)), "Server", IF(ISNUMBER(SEARCH("Server", C232)), "Server", IF(ISNUMBER(SEARCH("client", C232)), "Client", IF(ISNUMBER(SEARCH("Client", C232)), "Client", IF(ISNUMBER(SEARCH("US Core Responder", C232)), "Server", IF(ISNUMBER(SEARCH("US Core Requestor", C232)), "Client", ""))))))</f>
        <v>Client</v>
      </c>
      <c r="R232" s="5" t="s">
        <v>445</v>
      </c>
    </row>
    <row r="233" spans="1:22" ht="178.75" customHeight="1" x14ac:dyDescent="0.2">
      <c r="A233" s="2">
        <v>232</v>
      </c>
      <c r="B233" s="30" t="s">
        <v>319</v>
      </c>
      <c r="C233" s="36" t="s">
        <v>320</v>
      </c>
      <c r="D233" s="2" t="s">
        <v>30</v>
      </c>
      <c r="E233" s="2" t="s">
        <v>317</v>
      </c>
      <c r="O233" s="5" t="str">
        <f>IF(ISNUMBER(SEARCH("MAY", C233)), "MAY", IF(ISNUMBER(SEARCH("SHOULD", C233)), "SHOULD", IF(ISNUMBER(SEARCH("SHALL", C233)), "SHALL", IF(ISNUMBER(SEARCH("SHOULD NOT", C233)), "SHOULD NOT", IF(ISNUMBER(SEARCH("SHALL NOT", C233)), "SHALL NOT", "")))))</f>
        <v/>
      </c>
      <c r="P233" s="5" t="str">
        <f>IF(ISNUMBER(SEARCH("server", C233)), "Server", IF(ISNUMBER(SEARCH("Server", C233)), "Server", IF(ISNUMBER(SEARCH("client", C233)), "Client", IF(ISNUMBER(SEARCH("Client", C233)), "Client", IF(ISNUMBER(SEARCH("US Core Responder", C233)), "Server", IF(ISNUMBER(SEARCH("US Core Requestor", C233)), "Client", ""))))))</f>
        <v/>
      </c>
      <c r="R233" s="5" t="s">
        <v>445</v>
      </c>
    </row>
    <row r="234" spans="1:22" ht="178.75" customHeight="1" x14ac:dyDescent="0.2">
      <c r="A234" s="2">
        <v>233</v>
      </c>
      <c r="B234" s="30" t="s">
        <v>321</v>
      </c>
      <c r="C234" s="36" t="s">
        <v>322</v>
      </c>
      <c r="D234" s="2" t="s">
        <v>30</v>
      </c>
      <c r="E234" s="2" t="s">
        <v>317</v>
      </c>
      <c r="O234" s="5" t="str">
        <f>IF(ISNUMBER(SEARCH("MAY", C234)), "MAY", IF(ISNUMBER(SEARCH("SHOULD", C234)), "SHOULD", IF(ISNUMBER(SEARCH("SHALL", C234)), "SHALL", IF(ISNUMBER(SEARCH("SHOULD NOT", C234)), "SHOULD NOT", IF(ISNUMBER(SEARCH("SHALL NOT", C234)), "SHALL NOT", "")))))</f>
        <v/>
      </c>
      <c r="P234" s="5" t="str">
        <f>IF(ISNUMBER(SEARCH("server", C234)), "Server", IF(ISNUMBER(SEARCH("Server", C234)), "Server", IF(ISNUMBER(SEARCH("client", C234)), "Client", IF(ISNUMBER(SEARCH("Client", C234)), "Client", IF(ISNUMBER(SEARCH("US Core Responder", C234)), "Server", IF(ISNUMBER(SEARCH("US Core Requestor", C234)), "Client", ""))))))</f>
        <v>Client</v>
      </c>
      <c r="R234" s="5" t="s">
        <v>445</v>
      </c>
    </row>
    <row r="235" spans="1:22" ht="178.75" customHeight="1" x14ac:dyDescent="0.2">
      <c r="A235" s="2">
        <v>234</v>
      </c>
      <c r="B235" s="30" t="s">
        <v>314</v>
      </c>
      <c r="C235" s="36" t="s">
        <v>323</v>
      </c>
      <c r="D235" s="2" t="s">
        <v>30</v>
      </c>
      <c r="E235" s="2" t="s">
        <v>317</v>
      </c>
      <c r="M235" s="31" t="str" cm="1">
        <f t="array" ref="M235">PAGE_NAME(B235)</f>
        <v>consumer</v>
      </c>
      <c r="N235" s="31" t="str" cm="1">
        <f t="array" ref="N235">SECTION_NAME(B235)</f>
        <v>submitting-a-token-request</v>
      </c>
      <c r="O235" s="5" t="str">
        <f>IF(ISNUMBER(SEARCH("MAY", C235)), "MAY", IF(ISNUMBER(SEARCH("SHOULD", C235)), "SHOULD", IF(ISNUMBER(SEARCH("SHALL", C235)), "SHALL", IF(ISNUMBER(SEARCH("SHOULD NOT", C235)), "SHOULD NOT", IF(ISNUMBER(SEARCH("SHALL NOT", C235)), "SHALL NOT", "")))))</f>
        <v/>
      </c>
      <c r="P235" s="5" t="str">
        <f>IF(ISNUMBER(SEARCH("server", C235)), "Server", IF(ISNUMBER(SEARCH("Server", C235)), "Server", IF(ISNUMBER(SEARCH("client", C235)), "Client", IF(ISNUMBER(SEARCH("Client", C235)), "Client", IF(ISNUMBER(SEARCH("US Core Responder", C235)), "Server", IF(ISNUMBER(SEARCH("US Core Requestor", C235)), "Client", ""))))))</f>
        <v>Server</v>
      </c>
      <c r="R235" s="5" t="s">
        <v>445</v>
      </c>
    </row>
    <row r="236" spans="1:22" ht="178.75" customHeight="1" x14ac:dyDescent="0.2">
      <c r="A236" s="2">
        <v>235</v>
      </c>
      <c r="B236" s="30" t="s">
        <v>324</v>
      </c>
      <c r="C236" s="36" t="s">
        <v>325</v>
      </c>
      <c r="D236" s="2" t="s">
        <v>30</v>
      </c>
      <c r="E236" s="2" t="s">
        <v>317</v>
      </c>
      <c r="M236" s="31" t="str" cm="1">
        <f t="array" ref="M236">PAGE_NAME(B236)</f>
        <v>user</v>
      </c>
      <c r="N236" s="31" t="str" cm="1">
        <f t="array" ref="N236">SECTION_NAME(B236)</f>
        <v>data-holder-authentication-request-to-idp</v>
      </c>
      <c r="O236" s="5" t="str">
        <f t="shared" ref="O236" si="156">IF(ISNUMBER(SEARCH("MAY", C236)), "MAY", IF(ISNUMBER(SEARCH("SHOULD", C236)), "SHOULD", IF(ISNUMBER(SEARCH("SHALL", C236)), "SHALL", IF(ISNUMBER(SEARCH("SHOULD NOT", C236)), "SHOULD NOT", IF(ISNUMBER(SEARCH("SHALL NOT", C236)), "SHALL NOT", "")))))</f>
        <v>SHALL</v>
      </c>
      <c r="P236" s="5" t="str">
        <f t="shared" ref="P236" si="157">IF(ISNUMBER(SEARCH("server", C236)), "Server", IF(ISNUMBER(SEARCH("Server", C236)), "Server", IF(ISNUMBER(SEARCH("client", C236)), "Client", IF(ISNUMBER(SEARCH("Client", C236)), "Client", IF(ISNUMBER(SEARCH("US Core Responder", C236)), "Server", IF(ISNUMBER(SEARCH("US Core Requestor", C236)), "Client", ""))))))</f>
        <v/>
      </c>
      <c r="R236" s="5" t="s">
        <v>439</v>
      </c>
    </row>
    <row r="237" spans="1:22" ht="181.75" customHeight="1" x14ac:dyDescent="0.2">
      <c r="A237" s="2">
        <v>236</v>
      </c>
      <c r="B237" s="30" t="s">
        <v>326</v>
      </c>
      <c r="C237" s="36" t="s">
        <v>327</v>
      </c>
      <c r="D237" s="2" t="s">
        <v>30</v>
      </c>
      <c r="E237" s="2" t="s">
        <v>54</v>
      </c>
      <c r="O237" s="5" t="str">
        <f>IF(ISNUMBER(SEARCH("MAY", C237)), "MAY", IF(ISNUMBER(SEARCH("SHOULD", C237)), "SHOULD", IF(ISNUMBER(SEARCH("SHALL", C237)), "SHALL", IF(ISNUMBER(SEARCH("SHOULD NOT", C237)), "SHOULD NOT", IF(ISNUMBER(SEARCH("SHALL NOT", C237)), "SHALL NOT", "")))))</f>
        <v/>
      </c>
      <c r="P237" s="5" t="str">
        <f>IF(ISNUMBER(SEARCH("server", C237)), "Server", IF(ISNUMBER(SEARCH("Server", C237)), "Server", IF(ISNUMBER(SEARCH("client", C237)), "Client", IF(ISNUMBER(SEARCH("Client", C237)), "Client", IF(ISNUMBER(SEARCH("US Core Responder", C237)), "Server", IF(ISNUMBER(SEARCH("US Core Requestor", C237)), "Client", ""))))))</f>
        <v>Client</v>
      </c>
      <c r="R237" s="5" t="s">
        <v>439</v>
      </c>
    </row>
    <row r="238" spans="1:22" ht="178.75" customHeight="1" x14ac:dyDescent="0.2">
      <c r="A238" s="2">
        <v>237</v>
      </c>
      <c r="B238" s="30" t="s">
        <v>326</v>
      </c>
      <c r="C238" s="36" t="s">
        <v>328</v>
      </c>
      <c r="D238" s="2" t="s">
        <v>30</v>
      </c>
      <c r="E238" s="2" t="s">
        <v>317</v>
      </c>
      <c r="O238" s="5" t="str">
        <f>IF(ISNUMBER(SEARCH("MAY", C238)), "MAY", IF(ISNUMBER(SEARCH("SHOULD", C238)), "SHOULD", IF(ISNUMBER(SEARCH("SHALL", C238)), "SHALL", IF(ISNUMBER(SEARCH("SHOULD NOT", C238)), "SHOULD NOT", IF(ISNUMBER(SEARCH("SHALL NOT", C238)), "SHALL NOT", "")))))</f>
        <v/>
      </c>
      <c r="P238" s="5" t="str">
        <f>IF(ISNUMBER(SEARCH("server", C238)), "Server", IF(ISNUMBER(SEARCH("Server", C238)), "Server", IF(ISNUMBER(SEARCH("client", C238)), "Client", IF(ISNUMBER(SEARCH("Client", C238)), "Client", IF(ISNUMBER(SEARCH("US Core Responder", C238)), "Server", IF(ISNUMBER(SEARCH("US Core Requestor", C238)), "Client", ""))))))</f>
        <v>Client</v>
      </c>
      <c r="R238" s="5" t="s">
        <v>439</v>
      </c>
    </row>
    <row r="239" spans="1:22" ht="178.75" customHeight="1" x14ac:dyDescent="0.2">
      <c r="A239" s="2">
        <v>238</v>
      </c>
      <c r="B239" s="30" t="s">
        <v>324</v>
      </c>
      <c r="C239" s="36" t="s">
        <v>329</v>
      </c>
      <c r="D239" s="2" t="s">
        <v>30</v>
      </c>
      <c r="E239" s="2" t="s">
        <v>45</v>
      </c>
      <c r="M239" s="31" t="str" cm="1">
        <f t="array" ref="M239">PAGE_NAME(B239)</f>
        <v>user</v>
      </c>
      <c r="N239" s="31" t="str" cm="1">
        <f t="array" ref="N239">SECTION_NAME(B239)</f>
        <v>data-holder-authentication-request-to-idp</v>
      </c>
      <c r="O239" s="5" t="str">
        <f>IF(ISNUMBER(SEARCH("MAY", C239)), "MAY", IF(ISNUMBER(SEARCH("SHOULD", C239)), "SHOULD", IF(ISNUMBER(SEARCH("SHALL", C239)), "SHALL", IF(ISNUMBER(SEARCH("SHOULD NOT", C239)), "SHOULD NOT", IF(ISNUMBER(SEARCH("SHALL NOT", C239)), "SHALL NOT", "")))))</f>
        <v/>
      </c>
      <c r="P239" s="5" t="str">
        <f>IF(ISNUMBER(SEARCH("server", C239)), "Server", IF(ISNUMBER(SEARCH("Server", C239)), "Server", IF(ISNUMBER(SEARCH("client", C239)), "Client", IF(ISNUMBER(SEARCH("Client", C239)), "Client", IF(ISNUMBER(SEARCH("US Core Responder", C239)), "Server", IF(ISNUMBER(SEARCH("US Core Requestor", C239)), "Client", ""))))))</f>
        <v/>
      </c>
      <c r="R239" s="5" t="s">
        <v>439</v>
      </c>
    </row>
    <row r="240" spans="1:22" ht="178.75" customHeight="1" x14ac:dyDescent="0.2">
      <c r="A240" s="2">
        <v>239</v>
      </c>
      <c r="B240" s="30" t="s">
        <v>324</v>
      </c>
      <c r="C240" s="36" t="s">
        <v>330</v>
      </c>
      <c r="D240" s="2" t="s">
        <v>30</v>
      </c>
      <c r="E240" s="2" t="s">
        <v>45</v>
      </c>
      <c r="M240" s="31" t="str" cm="1">
        <f t="array" ref="M240">PAGE_NAME(B240)</f>
        <v>user</v>
      </c>
      <c r="N240" s="31" t="str" cm="1">
        <f t="array" ref="N240">SECTION_NAME(B240)</f>
        <v>data-holder-authentication-request-to-idp</v>
      </c>
      <c r="O240" s="5" t="str">
        <f t="shared" ref="O240" si="158">IF(ISNUMBER(SEARCH("MAY", C240)), "MAY", IF(ISNUMBER(SEARCH("SHOULD", C240)), "SHOULD", IF(ISNUMBER(SEARCH("SHALL", C240)), "SHALL", IF(ISNUMBER(SEARCH("SHOULD NOT", C240)), "SHOULD NOT", IF(ISNUMBER(SEARCH("SHALL NOT", C240)), "SHALL NOT", "")))))</f>
        <v>SHALL</v>
      </c>
      <c r="P240" s="5" t="str">
        <f t="shared" ref="P240" si="159">IF(ISNUMBER(SEARCH("server", C240)), "Server", IF(ISNUMBER(SEARCH("Server", C240)), "Server", IF(ISNUMBER(SEARCH("client", C240)), "Client", IF(ISNUMBER(SEARCH("Client", C240)), "Client", IF(ISNUMBER(SEARCH("US Core Responder", C240)), "Server", IF(ISNUMBER(SEARCH("US Core Requestor", C240)), "Client", ""))))))</f>
        <v>Client</v>
      </c>
      <c r="R240" s="5" t="s">
        <v>439</v>
      </c>
    </row>
    <row r="241" spans="1:18" ht="179.5" customHeight="1" x14ac:dyDescent="0.2">
      <c r="A241" s="2">
        <v>240</v>
      </c>
      <c r="B241" s="30" t="s">
        <v>324</v>
      </c>
      <c r="C241" s="36" t="s">
        <v>331</v>
      </c>
      <c r="D241" s="2" t="s">
        <v>39</v>
      </c>
      <c r="E241" s="2" t="s">
        <v>45</v>
      </c>
      <c r="M241" s="31" t="str" cm="1">
        <f t="array" ref="M241">PAGE_NAME(B241)</f>
        <v>user</v>
      </c>
      <c r="N241" s="31" t="str" cm="1">
        <f t="array" ref="N241">SECTION_NAME(B241)</f>
        <v>data-holder-authentication-request-to-idp</v>
      </c>
      <c r="O241" s="5" t="str">
        <f t="shared" ref="O241" si="160">IF(ISNUMBER(SEARCH("MAY", C241)), "MAY", IF(ISNUMBER(SEARCH("SHOULD", C241)), "SHOULD", IF(ISNUMBER(SEARCH("SHALL", C241)), "SHALL", IF(ISNUMBER(SEARCH("SHOULD NOT", C241)), "SHOULD NOT", IF(ISNUMBER(SEARCH("SHALL NOT", C241)), "SHALL NOT", "")))))</f>
        <v>MAY</v>
      </c>
      <c r="P241" s="5" t="str">
        <f t="shared" ref="P241" si="161">IF(ISNUMBER(SEARCH("server", C241)), "Server", IF(ISNUMBER(SEARCH("Server", C241)), "Server", IF(ISNUMBER(SEARCH("client", C241)), "Client", IF(ISNUMBER(SEARCH("Client", C241)), "Client", IF(ISNUMBER(SEARCH("US Core Responder", C241)), "Server", IF(ISNUMBER(SEARCH("US Core Requestor", C241)), "Client", ""))))))</f>
        <v>Client</v>
      </c>
      <c r="R241" s="5" t="s">
        <v>439</v>
      </c>
    </row>
    <row r="242" spans="1:18" ht="178.75" customHeight="1" x14ac:dyDescent="0.2">
      <c r="A242" s="2">
        <v>241</v>
      </c>
      <c r="B242" s="30" t="s">
        <v>324</v>
      </c>
      <c r="C242" s="36" t="s">
        <v>332</v>
      </c>
      <c r="D242" s="2" t="s">
        <v>30</v>
      </c>
      <c r="E242" s="2" t="s">
        <v>45</v>
      </c>
      <c r="F242" s="2" t="s">
        <v>333</v>
      </c>
      <c r="G242" s="2" t="b">
        <v>1</v>
      </c>
      <c r="M242" s="31" t="str" cm="1">
        <f t="array" ref="M242">PAGE_NAME(B242)</f>
        <v>user</v>
      </c>
      <c r="N242" s="31" t="str" cm="1">
        <f t="array" ref="N242">SECTION_NAME(B242)</f>
        <v>data-holder-authentication-request-to-idp</v>
      </c>
      <c r="O242" s="5" t="str">
        <f>IF(ISNUMBER(SEARCH("MAY", C242)), "MAY", IF(ISNUMBER(SEARCH("SHOULD", C242)), "SHOULD", IF(ISNUMBER(SEARCH("SHALL", C242)), "SHALL", IF(ISNUMBER(SEARCH("SHOULD NOT", C242)), "SHOULD NOT", IF(ISNUMBER(SEARCH("SHALL NOT", C242)), "SHALL NOT", "")))))</f>
        <v>SHALL</v>
      </c>
      <c r="P242" s="5" t="str">
        <f>IF(ISNUMBER(SEARCH("server", C242)), "Server", IF(ISNUMBER(SEARCH("Server", C242)), "Server", IF(ISNUMBER(SEARCH("client", C242)), "Client", IF(ISNUMBER(SEARCH("Client", C242)), "Client", IF(ISNUMBER(SEARCH("US Core Responder", C242)), "Server", IF(ISNUMBER(SEARCH("US Core Requestor", C242)), "Client", ""))))))</f>
        <v/>
      </c>
      <c r="R242" s="5" t="s">
        <v>439</v>
      </c>
    </row>
    <row r="243" spans="1:18" ht="178.75" customHeight="1" x14ac:dyDescent="0.2">
      <c r="A243" s="2">
        <v>242</v>
      </c>
      <c r="B243" s="30" t="s">
        <v>334</v>
      </c>
      <c r="C243" s="36" t="s">
        <v>335</v>
      </c>
      <c r="D243" s="2" t="s">
        <v>236</v>
      </c>
      <c r="E243" s="2" t="s">
        <v>45</v>
      </c>
      <c r="O243" s="5" t="str">
        <f>IF(ISNUMBER(SEARCH("MAY", C243)), "MAY", IF(ISNUMBER(SEARCH("SHOULD", C243)), "SHOULD", IF(ISNUMBER(SEARCH("SHALL", C243)), "SHALL", IF(ISNUMBER(SEARCH("SHOULD NOT", C243)), "SHOULD NOT", IF(ISNUMBER(SEARCH("SHALL NOT", C243)), "SHALL NOT", "")))))</f>
        <v/>
      </c>
      <c r="P243" s="5" t="str">
        <f>IF(ISNUMBER(SEARCH("server", C243)), "Server", IF(ISNUMBER(SEARCH("Server", C243)), "Server", IF(ISNUMBER(SEARCH("client", C243)), "Client", IF(ISNUMBER(SEARCH("Client", C243)), "Client", IF(ISNUMBER(SEARCH("US Core Responder", C243)), "Server", IF(ISNUMBER(SEARCH("US Core Requestor", C243)), "Client", ""))))))</f>
        <v>Server</v>
      </c>
      <c r="R243" s="5" t="s">
        <v>439</v>
      </c>
    </row>
    <row r="244" spans="1:18" ht="183.5" customHeight="1" x14ac:dyDescent="0.2">
      <c r="A244" s="2">
        <v>243</v>
      </c>
      <c r="B244" s="30" t="s">
        <v>324</v>
      </c>
      <c r="C244" s="36" t="s">
        <v>336</v>
      </c>
      <c r="D244" s="2" t="s">
        <v>39</v>
      </c>
      <c r="E244" s="2" t="s">
        <v>45</v>
      </c>
      <c r="M244" s="31" t="str" cm="1">
        <f t="array" ref="M244">PAGE_NAME(B244)</f>
        <v>user</v>
      </c>
      <c r="N244" s="31" t="str" cm="1">
        <f t="array" ref="N244">SECTION_NAME(B244)</f>
        <v>data-holder-authentication-request-to-idp</v>
      </c>
      <c r="O244" s="5" t="str">
        <f t="shared" ref="O244" si="162">IF(ISNUMBER(SEARCH("MAY", C244)), "MAY", IF(ISNUMBER(SEARCH("SHOULD", C244)), "SHOULD", IF(ISNUMBER(SEARCH("SHALL", C244)), "SHALL", IF(ISNUMBER(SEARCH("SHOULD NOT", C244)), "SHOULD NOT", IF(ISNUMBER(SEARCH("SHALL NOT", C244)), "SHALL NOT", "")))))</f>
        <v>MAY</v>
      </c>
      <c r="P244" s="5" t="str">
        <f t="shared" ref="P244" si="163">IF(ISNUMBER(SEARCH("server", C244)), "Server", IF(ISNUMBER(SEARCH("Server", C244)), "Server", IF(ISNUMBER(SEARCH("client", C244)), "Client", IF(ISNUMBER(SEARCH("Client", C244)), "Client", IF(ISNUMBER(SEARCH("US Core Responder", C244)), "Server", IF(ISNUMBER(SEARCH("US Core Requestor", C244)), "Client", ""))))))</f>
        <v>Client</v>
      </c>
      <c r="R244" s="5" t="s">
        <v>439</v>
      </c>
    </row>
    <row r="245" spans="1:18" ht="183.5" customHeight="1" x14ac:dyDescent="0.2">
      <c r="A245" s="2">
        <v>244</v>
      </c>
      <c r="B245" s="30" t="s">
        <v>324</v>
      </c>
      <c r="C245" s="36" t="s">
        <v>337</v>
      </c>
      <c r="D245" s="2" t="s">
        <v>39</v>
      </c>
      <c r="E245" s="2" t="s">
        <v>54</v>
      </c>
      <c r="M245" s="31" t="str" cm="1">
        <f t="array" ref="M245">PAGE_NAME(B245)</f>
        <v>user</v>
      </c>
      <c r="N245" s="31" t="str" cm="1">
        <f t="array" ref="N245">SECTION_NAME(B245)</f>
        <v>data-holder-authentication-request-to-idp</v>
      </c>
      <c r="O245" s="5" t="str">
        <f t="shared" ref="O245" si="164">IF(ISNUMBER(SEARCH("MAY", C245)), "MAY", IF(ISNUMBER(SEARCH("SHOULD", C245)), "SHOULD", IF(ISNUMBER(SEARCH("SHALL", C245)), "SHALL", IF(ISNUMBER(SEARCH("SHOULD NOT", C245)), "SHOULD NOT", IF(ISNUMBER(SEARCH("SHALL NOT", C245)), "SHALL NOT", "")))))</f>
        <v>MAY</v>
      </c>
      <c r="P245" s="5" t="str">
        <f t="shared" ref="P245" si="165">IF(ISNUMBER(SEARCH("server", C245)), "Server", IF(ISNUMBER(SEARCH("Server", C245)), "Server", IF(ISNUMBER(SEARCH("client", C245)), "Client", IF(ISNUMBER(SEARCH("Client", C245)), "Client", IF(ISNUMBER(SEARCH("US Core Responder", C245)), "Server", IF(ISNUMBER(SEARCH("US Core Requestor", C245)), "Client", ""))))))</f>
        <v>Client</v>
      </c>
      <c r="R245" s="5" t="s">
        <v>439</v>
      </c>
    </row>
    <row r="246" spans="1:18" ht="183.5" customHeight="1" x14ac:dyDescent="0.2">
      <c r="A246" s="2">
        <v>245</v>
      </c>
      <c r="B246" s="30" t="s">
        <v>324</v>
      </c>
      <c r="C246" s="36" t="s">
        <v>338</v>
      </c>
      <c r="D246" s="2" t="s">
        <v>30</v>
      </c>
      <c r="E246" s="2" t="s">
        <v>45</v>
      </c>
      <c r="F246" s="2" t="s">
        <v>339</v>
      </c>
      <c r="M246" s="31" t="str" cm="1">
        <f t="array" ref="M246">PAGE_NAME(B246)</f>
        <v>user</v>
      </c>
      <c r="N246" s="31" t="str" cm="1">
        <f t="array" ref="N246">SECTION_NAME(B246)</f>
        <v>data-holder-authentication-request-to-idp</v>
      </c>
      <c r="O246" s="5" t="str">
        <f t="shared" ref="O246" si="166">IF(ISNUMBER(SEARCH("MAY", C246)), "MAY", IF(ISNUMBER(SEARCH("SHOULD", C246)), "SHOULD", IF(ISNUMBER(SEARCH("SHALL", C246)), "SHALL", IF(ISNUMBER(SEARCH("SHOULD NOT", C246)), "SHOULD NOT", IF(ISNUMBER(SEARCH("SHALL NOT", C246)), "SHALL NOT", "")))))</f>
        <v>SHALL</v>
      </c>
      <c r="P246" s="5" t="str">
        <f t="shared" ref="P246" si="167">IF(ISNUMBER(SEARCH("server", C246)), "Server", IF(ISNUMBER(SEARCH("Server", C246)), "Server", IF(ISNUMBER(SEARCH("client", C246)), "Client", IF(ISNUMBER(SEARCH("Client", C246)), "Client", IF(ISNUMBER(SEARCH("US Core Responder", C246)), "Server", IF(ISNUMBER(SEARCH("US Core Requestor", C246)), "Client", ""))))))</f>
        <v>Client</v>
      </c>
      <c r="R246" s="5" t="s">
        <v>439</v>
      </c>
    </row>
    <row r="247" spans="1:18" ht="85" x14ac:dyDescent="0.2">
      <c r="A247" s="2">
        <v>246</v>
      </c>
      <c r="B247" s="30" t="s">
        <v>340</v>
      </c>
      <c r="C247" s="36" t="s">
        <v>341</v>
      </c>
      <c r="D247" s="2" t="s">
        <v>30</v>
      </c>
      <c r="E247" s="2" t="s">
        <v>45</v>
      </c>
      <c r="O247" s="5" t="str">
        <f t="shared" ref="O247:O256" si="168">IF(ISNUMBER(SEARCH("MAY", C247)), "MAY", IF(ISNUMBER(SEARCH("SHOULD", C247)), "SHOULD", IF(ISNUMBER(SEARCH("SHALL", C247)), "SHALL", IF(ISNUMBER(SEARCH("SHOULD NOT", C247)), "SHOULD NOT", IF(ISNUMBER(SEARCH("SHALL NOT", C247)), "SHALL NOT", "")))))</f>
        <v/>
      </c>
      <c r="P247" s="5" t="str">
        <f t="shared" ref="P247:P256" si="169">IF(ISNUMBER(SEARCH("server", C247)), "Server", IF(ISNUMBER(SEARCH("Server", C247)), "Server", IF(ISNUMBER(SEARCH("client", C247)), "Client", IF(ISNUMBER(SEARCH("Client", C247)), "Client", IF(ISNUMBER(SEARCH("US Core Responder", C247)), "Server", IF(ISNUMBER(SEARCH("US Core Requestor", C247)), "Client", ""))))))</f>
        <v>Server</v>
      </c>
      <c r="R247" s="5" t="s">
        <v>439</v>
      </c>
    </row>
    <row r="248" spans="1:18" ht="183.5" customHeight="1" x14ac:dyDescent="0.2">
      <c r="A248" s="2">
        <v>247</v>
      </c>
      <c r="B248" s="30" t="s">
        <v>340</v>
      </c>
      <c r="C248" s="36" t="s">
        <v>342</v>
      </c>
      <c r="D248" s="2" t="s">
        <v>30</v>
      </c>
      <c r="E248" s="2" t="s">
        <v>45</v>
      </c>
      <c r="O248" s="5" t="str">
        <f t="shared" si="168"/>
        <v/>
      </c>
      <c r="P248" s="5" t="str">
        <f t="shared" si="169"/>
        <v/>
      </c>
      <c r="R248" s="5" t="s">
        <v>439</v>
      </c>
    </row>
    <row r="249" spans="1:18" ht="183.5" customHeight="1" x14ac:dyDescent="0.2">
      <c r="A249" s="2">
        <v>248</v>
      </c>
      <c r="B249" s="30" t="s">
        <v>340</v>
      </c>
      <c r="C249" s="36" t="s">
        <v>343</v>
      </c>
      <c r="D249" s="2" t="s">
        <v>30</v>
      </c>
      <c r="E249" s="2" t="s">
        <v>45</v>
      </c>
      <c r="O249" s="5" t="str">
        <f t="shared" si="168"/>
        <v/>
      </c>
      <c r="P249" s="5" t="str">
        <f t="shared" si="169"/>
        <v/>
      </c>
      <c r="R249" s="5" t="s">
        <v>439</v>
      </c>
    </row>
    <row r="250" spans="1:18" ht="121.75" customHeight="1" x14ac:dyDescent="0.2">
      <c r="A250" s="2">
        <v>249</v>
      </c>
      <c r="B250" s="30" t="s">
        <v>340</v>
      </c>
      <c r="C250" s="36" t="s">
        <v>344</v>
      </c>
      <c r="D250" s="2" t="s">
        <v>30</v>
      </c>
      <c r="E250" s="2" t="s">
        <v>45</v>
      </c>
      <c r="O250" s="5" t="str">
        <f t="shared" si="168"/>
        <v>SHALL</v>
      </c>
      <c r="P250" s="5" t="str">
        <f t="shared" si="169"/>
        <v>Server</v>
      </c>
      <c r="R250" s="5" t="s">
        <v>439</v>
      </c>
    </row>
    <row r="251" spans="1:18" ht="148.75" customHeight="1" x14ac:dyDescent="0.2">
      <c r="A251" s="2">
        <v>250</v>
      </c>
      <c r="B251" s="30" t="s">
        <v>340</v>
      </c>
      <c r="C251" s="36" t="s">
        <v>345</v>
      </c>
      <c r="D251" s="2" t="s">
        <v>30</v>
      </c>
      <c r="E251" s="2" t="s">
        <v>45</v>
      </c>
      <c r="O251" s="5" t="str">
        <f t="shared" si="168"/>
        <v>SHALL</v>
      </c>
      <c r="P251" s="5" t="str">
        <f t="shared" si="169"/>
        <v/>
      </c>
      <c r="R251" s="5" t="s">
        <v>439</v>
      </c>
    </row>
    <row r="252" spans="1:18" ht="148.75" customHeight="1" x14ac:dyDescent="0.2">
      <c r="A252" s="2">
        <v>251</v>
      </c>
      <c r="B252" s="30" t="s">
        <v>340</v>
      </c>
      <c r="C252" s="36" t="s">
        <v>346</v>
      </c>
      <c r="D252" s="2" t="s">
        <v>30</v>
      </c>
      <c r="E252" s="2" t="s">
        <v>45</v>
      </c>
      <c r="O252" s="5" t="str">
        <f t="shared" si="168"/>
        <v/>
      </c>
      <c r="P252" s="5" t="str">
        <f t="shared" si="169"/>
        <v>Client</v>
      </c>
      <c r="R252" s="5" t="s">
        <v>439</v>
      </c>
    </row>
    <row r="253" spans="1:18" ht="163.25" customHeight="1" x14ac:dyDescent="0.2">
      <c r="A253" s="2">
        <v>252</v>
      </c>
      <c r="B253" s="30" t="s">
        <v>347</v>
      </c>
      <c r="C253" s="36" t="s">
        <v>348</v>
      </c>
      <c r="D253" s="2" t="s">
        <v>349</v>
      </c>
      <c r="E253" s="2" t="s">
        <v>350</v>
      </c>
      <c r="O253" s="5" t="str">
        <f t="shared" si="168"/>
        <v>SHOULD</v>
      </c>
      <c r="P253" s="5" t="str">
        <f t="shared" si="169"/>
        <v/>
      </c>
      <c r="R253" s="5" t="s">
        <v>439</v>
      </c>
    </row>
    <row r="254" spans="1:18" ht="183.5" customHeight="1" x14ac:dyDescent="0.2">
      <c r="A254" s="2">
        <v>253</v>
      </c>
      <c r="B254" s="30" t="s">
        <v>347</v>
      </c>
      <c r="C254" s="36" t="s">
        <v>351</v>
      </c>
      <c r="D254" s="2" t="s">
        <v>30</v>
      </c>
      <c r="E254" s="2" t="s">
        <v>350</v>
      </c>
      <c r="O254" s="5" t="str">
        <f t="shared" si="168"/>
        <v/>
      </c>
      <c r="P254" s="5" t="str">
        <f t="shared" si="169"/>
        <v/>
      </c>
      <c r="R254" s="5" t="s">
        <v>439</v>
      </c>
    </row>
    <row r="255" spans="1:18" ht="183.5" customHeight="1" x14ac:dyDescent="0.2">
      <c r="A255" s="2">
        <v>254</v>
      </c>
      <c r="B255" s="30" t="s">
        <v>347</v>
      </c>
      <c r="C255" s="36" t="s">
        <v>352</v>
      </c>
      <c r="D255" s="2" t="s">
        <v>30</v>
      </c>
      <c r="E255" s="2" t="s">
        <v>350</v>
      </c>
      <c r="O255" s="5" t="str">
        <f t="shared" si="168"/>
        <v/>
      </c>
      <c r="P255" s="5" t="str">
        <f t="shared" si="169"/>
        <v/>
      </c>
      <c r="R255" s="5" t="s">
        <v>439</v>
      </c>
    </row>
    <row r="256" spans="1:18" ht="183.5" customHeight="1" x14ac:dyDescent="0.2">
      <c r="A256" s="2">
        <v>255</v>
      </c>
      <c r="B256" s="30" t="s">
        <v>347</v>
      </c>
      <c r="C256" s="36" t="s">
        <v>353</v>
      </c>
      <c r="D256" s="2" t="s">
        <v>236</v>
      </c>
      <c r="E256" s="2" t="s">
        <v>350</v>
      </c>
      <c r="O256" s="5" t="str">
        <f t="shared" si="168"/>
        <v/>
      </c>
      <c r="P256" s="5" t="str">
        <f t="shared" si="169"/>
        <v>Client</v>
      </c>
      <c r="R256" s="5" t="s">
        <v>439</v>
      </c>
    </row>
    <row r="257" spans="1:18" ht="183.5" customHeight="1" x14ac:dyDescent="0.2">
      <c r="A257" s="2">
        <v>256</v>
      </c>
      <c r="B257" s="30" t="s">
        <v>324</v>
      </c>
      <c r="C257" s="36" t="s">
        <v>354</v>
      </c>
      <c r="D257" s="2" t="s">
        <v>30</v>
      </c>
      <c r="E257" s="2" t="s">
        <v>54</v>
      </c>
      <c r="M257" s="31" t="str" cm="1">
        <f t="array" ref="M257">PAGE_NAME(B257)</f>
        <v>user</v>
      </c>
      <c r="N257" s="31" t="str" cm="1">
        <f t="array" ref="N257">SECTION_NAME(B257)</f>
        <v>data-holder-authentication-request-to-idp</v>
      </c>
      <c r="O257" s="5" t="str">
        <f t="shared" ref="O257" si="170">IF(ISNUMBER(SEARCH("MAY", C257)), "MAY", IF(ISNUMBER(SEARCH("SHOULD", C257)), "SHOULD", IF(ISNUMBER(SEARCH("SHALL", C257)), "SHALL", IF(ISNUMBER(SEARCH("SHOULD NOT", C257)), "SHOULD NOT", IF(ISNUMBER(SEARCH("SHALL NOT", C257)), "SHALL NOT", "")))))</f>
        <v>SHALL</v>
      </c>
      <c r="P257" s="5" t="str">
        <f t="shared" ref="P257" si="171">IF(ISNUMBER(SEARCH("server", C257)), "Server", IF(ISNUMBER(SEARCH("Server", C257)), "Server", IF(ISNUMBER(SEARCH("client", C257)), "Client", IF(ISNUMBER(SEARCH("Client", C257)), "Client", IF(ISNUMBER(SEARCH("US Core Responder", C257)), "Server", IF(ISNUMBER(SEARCH("US Core Requestor", C257)), "Client", ""))))))</f>
        <v/>
      </c>
      <c r="R257" s="5" t="s">
        <v>439</v>
      </c>
    </row>
    <row r="258" spans="1:18" ht="183.5" customHeight="1" x14ac:dyDescent="0.2">
      <c r="A258" s="2">
        <v>257</v>
      </c>
      <c r="B258" s="30" t="s">
        <v>324</v>
      </c>
      <c r="C258" s="36" t="s">
        <v>355</v>
      </c>
      <c r="D258" s="2" t="s">
        <v>30</v>
      </c>
      <c r="E258" s="2" t="s">
        <v>54</v>
      </c>
      <c r="F258" s="2" t="s">
        <v>356</v>
      </c>
      <c r="M258" s="31" t="str" cm="1">
        <f t="array" ref="M258">PAGE_NAME(B258)</f>
        <v>user</v>
      </c>
      <c r="N258" s="31" t="str" cm="1">
        <f t="array" ref="N258">SECTION_NAME(B258)</f>
        <v>data-holder-authentication-request-to-idp</v>
      </c>
      <c r="O258" s="5" t="str">
        <f t="shared" ref="O258" si="172">IF(ISNUMBER(SEARCH("MAY", C258)), "MAY", IF(ISNUMBER(SEARCH("SHOULD", C258)), "SHOULD", IF(ISNUMBER(SEARCH("SHALL", C258)), "SHALL", IF(ISNUMBER(SEARCH("SHOULD NOT", C258)), "SHOULD NOT", IF(ISNUMBER(SEARCH("SHALL NOT", C258)), "SHALL NOT", "")))))</f>
        <v>SHALL</v>
      </c>
      <c r="P258" s="5" t="str">
        <f t="shared" ref="P258" si="173">IF(ISNUMBER(SEARCH("server", C258)), "Server", IF(ISNUMBER(SEARCH("Server", C258)), "Server", IF(ISNUMBER(SEARCH("client", C258)), "Client", IF(ISNUMBER(SEARCH("Client", C258)), "Client", IF(ISNUMBER(SEARCH("US Core Responder", C258)), "Server", IF(ISNUMBER(SEARCH("US Core Requestor", C258)), "Client", ""))))))</f>
        <v/>
      </c>
      <c r="R258" s="5" t="s">
        <v>439</v>
      </c>
    </row>
    <row r="259" spans="1:18" ht="183.5" customHeight="1" x14ac:dyDescent="0.2">
      <c r="A259" s="2">
        <v>258</v>
      </c>
      <c r="B259" s="30" t="s">
        <v>357</v>
      </c>
      <c r="C259" s="36" t="s">
        <v>358</v>
      </c>
      <c r="D259" s="2" t="s">
        <v>30</v>
      </c>
      <c r="E259" s="2" t="s">
        <v>45</v>
      </c>
      <c r="M259" s="31" t="str" cm="1">
        <f t="array" ref="M259">PAGE_NAME(B259)</f>
        <v>openid-connect-core-1_0</v>
      </c>
      <c r="N259" s="31" t="str" cm="1">
        <f t="array" ref="N259">SECTION_NAME(B259)</f>
        <v>AuthRequestValidation</v>
      </c>
      <c r="O259" s="5" t="str">
        <f t="shared" ref="O259:O279" si="174">IF(ISNUMBER(SEARCH("MAY", C259)), "MAY", IF(ISNUMBER(SEARCH("SHOULD", C259)), "SHOULD", IF(ISNUMBER(SEARCH("SHALL", C259)), "SHALL", IF(ISNUMBER(SEARCH("SHOULD NOT", C259)), "SHOULD NOT", IF(ISNUMBER(SEARCH("SHALL NOT", C259)), "SHALL NOT", "")))))</f>
        <v/>
      </c>
      <c r="P259" s="5" t="str">
        <f t="shared" ref="P259:P279" si="175">IF(ISNUMBER(SEARCH("server", C259)), "Server", IF(ISNUMBER(SEARCH("Server", C259)), "Server", IF(ISNUMBER(SEARCH("client", C259)), "Client", IF(ISNUMBER(SEARCH("Client", C259)), "Client", IF(ISNUMBER(SEARCH("US Core Responder", C259)), "Server", IF(ISNUMBER(SEARCH("US Core Requestor", C259)), "Client", ""))))))</f>
        <v>Server</v>
      </c>
      <c r="R259" s="5" t="s">
        <v>439</v>
      </c>
    </row>
    <row r="260" spans="1:18" ht="183.5" customHeight="1" x14ac:dyDescent="0.2">
      <c r="A260" s="2">
        <v>259</v>
      </c>
      <c r="B260" s="30" t="s">
        <v>357</v>
      </c>
      <c r="C260" s="36" t="s">
        <v>359</v>
      </c>
      <c r="D260" s="2" t="s">
        <v>30</v>
      </c>
      <c r="E260" s="2" t="s">
        <v>45</v>
      </c>
      <c r="M260" s="31" t="str" cm="1">
        <f t="array" ref="M260">PAGE_NAME(B260)</f>
        <v>openid-connect-core-1_0</v>
      </c>
      <c r="N260" s="31" t="str" cm="1">
        <f t="array" ref="N260">SECTION_NAME(B260)</f>
        <v>AuthRequestValidation</v>
      </c>
      <c r="O260" s="5" t="str">
        <f t="shared" si="174"/>
        <v>MAY</v>
      </c>
      <c r="P260" s="5" t="str">
        <f t="shared" si="175"/>
        <v>Server</v>
      </c>
      <c r="R260" s="5" t="s">
        <v>439</v>
      </c>
    </row>
    <row r="261" spans="1:18" ht="183.5" customHeight="1" x14ac:dyDescent="0.2">
      <c r="A261" s="2">
        <v>260</v>
      </c>
      <c r="B261" s="30" t="s">
        <v>357</v>
      </c>
      <c r="C261" s="36" t="s">
        <v>360</v>
      </c>
      <c r="D261" s="2" t="s">
        <v>30</v>
      </c>
      <c r="E261" s="2" t="s">
        <v>45</v>
      </c>
      <c r="M261" s="31" t="str" cm="1">
        <f t="array" ref="M261">PAGE_NAME(B261)</f>
        <v>openid-connect-core-1_0</v>
      </c>
      <c r="N261" s="31" t="str" cm="1">
        <f t="array" ref="N261">SECTION_NAME(B261)</f>
        <v>AuthRequestValidation</v>
      </c>
      <c r="O261" s="5" t="str">
        <f t="shared" si="174"/>
        <v/>
      </c>
      <c r="P261" s="5" t="str">
        <f t="shared" si="175"/>
        <v>Server</v>
      </c>
      <c r="R261" s="5" t="s">
        <v>439</v>
      </c>
    </row>
    <row r="262" spans="1:18" ht="183.5" customHeight="1" x14ac:dyDescent="0.2">
      <c r="A262" s="2">
        <v>261</v>
      </c>
      <c r="B262" s="30" t="s">
        <v>357</v>
      </c>
      <c r="C262" s="36" t="s">
        <v>361</v>
      </c>
      <c r="D262" s="2" t="s">
        <v>30</v>
      </c>
      <c r="E262" s="2" t="s">
        <v>45</v>
      </c>
      <c r="M262" s="31" t="str" cm="1">
        <f t="array" ref="M262">PAGE_NAME(B262)</f>
        <v>openid-connect-core-1_0</v>
      </c>
      <c r="N262" s="31" t="str" cm="1">
        <f t="array" ref="N262">SECTION_NAME(B262)</f>
        <v>AuthRequestValidation</v>
      </c>
      <c r="O262" s="5" t="str">
        <f t="shared" si="174"/>
        <v/>
      </c>
      <c r="P262" s="5" t="str">
        <f t="shared" si="175"/>
        <v>Server</v>
      </c>
      <c r="R262" s="5" t="s">
        <v>439</v>
      </c>
    </row>
    <row r="263" spans="1:18" ht="183.5" customHeight="1" x14ac:dyDescent="0.2">
      <c r="A263" s="2">
        <v>262</v>
      </c>
      <c r="B263" s="30" t="s">
        <v>357</v>
      </c>
      <c r="C263" s="36" t="s">
        <v>362</v>
      </c>
      <c r="D263" s="2" t="s">
        <v>236</v>
      </c>
      <c r="E263" s="2" t="s">
        <v>45</v>
      </c>
      <c r="M263" s="31" t="str" cm="1">
        <f t="array" ref="M263">PAGE_NAME(B263)</f>
        <v>openid-connect-core-1_0</v>
      </c>
      <c r="N263" s="31" t="str" cm="1">
        <f t="array" ref="N263">SECTION_NAME(B263)</f>
        <v>AuthRequestValidation</v>
      </c>
      <c r="O263" s="5" t="str">
        <f t="shared" si="174"/>
        <v/>
      </c>
      <c r="P263" s="5" t="str">
        <f t="shared" si="175"/>
        <v>Server</v>
      </c>
      <c r="R263" s="5" t="s">
        <v>439</v>
      </c>
    </row>
    <row r="264" spans="1:18" ht="183.5" customHeight="1" x14ac:dyDescent="0.2">
      <c r="A264" s="2">
        <v>263</v>
      </c>
      <c r="B264" s="30" t="s">
        <v>357</v>
      </c>
      <c r="C264" s="36" t="s">
        <v>363</v>
      </c>
      <c r="D264" s="2" t="s">
        <v>30</v>
      </c>
      <c r="E264" s="2" t="s">
        <v>45</v>
      </c>
      <c r="M264" s="31" t="str" cm="1">
        <f t="array" ref="M264">PAGE_NAME(B264)</f>
        <v>openid-connect-core-1_0</v>
      </c>
      <c r="N264" s="31" t="str" cm="1">
        <f t="array" ref="N264">SECTION_NAME(B264)</f>
        <v>AuthRequestValidation</v>
      </c>
      <c r="O264" s="5" t="str">
        <f t="shared" si="174"/>
        <v/>
      </c>
      <c r="P264" s="5" t="str">
        <f t="shared" si="175"/>
        <v/>
      </c>
      <c r="R264" s="5" t="s">
        <v>439</v>
      </c>
    </row>
    <row r="265" spans="1:18" ht="183.5" customHeight="1" x14ac:dyDescent="0.2">
      <c r="A265" s="2">
        <v>264</v>
      </c>
      <c r="B265" s="30" t="s">
        <v>357</v>
      </c>
      <c r="C265" s="36" t="s">
        <v>364</v>
      </c>
      <c r="D265" s="2" t="s">
        <v>30</v>
      </c>
      <c r="E265" s="2" t="s">
        <v>45</v>
      </c>
      <c r="M265" s="31" t="str" cm="1">
        <f t="array" ref="M265">PAGE_NAME(B265)</f>
        <v>openid-connect-core-1_0</v>
      </c>
      <c r="N265" s="31" t="str" cm="1">
        <f t="array" ref="N265">SECTION_NAME(B265)</f>
        <v>AuthRequestValidation</v>
      </c>
      <c r="O265" s="5" t="str">
        <f t="shared" si="174"/>
        <v/>
      </c>
      <c r="P265" s="5" t="str">
        <f t="shared" si="175"/>
        <v>Server</v>
      </c>
      <c r="R265" s="5" t="s">
        <v>439</v>
      </c>
    </row>
    <row r="266" spans="1:18" ht="208.75" customHeight="1" x14ac:dyDescent="0.2">
      <c r="A266" s="2">
        <v>265</v>
      </c>
      <c r="B266" s="30" t="s">
        <v>357</v>
      </c>
      <c r="C266" s="36" t="s">
        <v>365</v>
      </c>
      <c r="D266" s="2" t="s">
        <v>30</v>
      </c>
      <c r="E266" s="2" t="s">
        <v>45</v>
      </c>
      <c r="M266" s="31" t="str" cm="1">
        <f t="array" ref="M266">PAGE_NAME(B266)</f>
        <v>openid-connect-core-1_0</v>
      </c>
      <c r="N266" s="31" t="str" cm="1">
        <f t="array" ref="N266">SECTION_NAME(B266)</f>
        <v>AuthRequestValidation</v>
      </c>
      <c r="O266" s="5" t="str">
        <f t="shared" si="174"/>
        <v/>
      </c>
      <c r="P266" s="5" t="str">
        <f t="shared" si="175"/>
        <v>Server</v>
      </c>
      <c r="R266" s="5" t="s">
        <v>439</v>
      </c>
    </row>
    <row r="267" spans="1:18" ht="183.5" customHeight="1" x14ac:dyDescent="0.2">
      <c r="A267" s="2">
        <v>266</v>
      </c>
      <c r="B267" s="30" t="s">
        <v>357</v>
      </c>
      <c r="C267" s="36" t="s">
        <v>366</v>
      </c>
      <c r="D267" s="2" t="s">
        <v>30</v>
      </c>
      <c r="E267" s="2" t="s">
        <v>45</v>
      </c>
      <c r="M267" s="31" t="str" cm="1">
        <f t="array" ref="M267">PAGE_NAME(B267)</f>
        <v>openid-connect-core-1_0</v>
      </c>
      <c r="N267" s="31" t="str" cm="1">
        <f t="array" ref="N267">SECTION_NAME(B267)</f>
        <v>AuthRequestValidation</v>
      </c>
      <c r="O267" s="5" t="str">
        <f t="shared" si="174"/>
        <v/>
      </c>
      <c r="P267" s="5" t="str">
        <f t="shared" si="175"/>
        <v>Server</v>
      </c>
      <c r="R267" s="5" t="s">
        <v>439</v>
      </c>
    </row>
    <row r="268" spans="1:18" ht="183.5" customHeight="1" x14ac:dyDescent="0.2">
      <c r="A268" s="2">
        <v>267</v>
      </c>
      <c r="B268" s="30" t="s">
        <v>357</v>
      </c>
      <c r="C268" s="36" t="s">
        <v>367</v>
      </c>
      <c r="D268" s="2" t="s">
        <v>236</v>
      </c>
      <c r="E268" s="2" t="s">
        <v>45</v>
      </c>
      <c r="M268" s="31" t="str" cm="1">
        <f t="array" ref="M268">PAGE_NAME(B268)</f>
        <v>openid-connect-core-1_0</v>
      </c>
      <c r="N268" s="31" t="str" cm="1">
        <f t="array" ref="N268">SECTION_NAME(B268)</f>
        <v>AuthRequestValidation</v>
      </c>
      <c r="O268" s="5" t="str">
        <f t="shared" si="174"/>
        <v/>
      </c>
      <c r="P268" s="5" t="str">
        <f t="shared" si="175"/>
        <v>Server</v>
      </c>
      <c r="R268" s="5" t="s">
        <v>439</v>
      </c>
    </row>
    <row r="269" spans="1:18" ht="183.5" customHeight="1" x14ac:dyDescent="0.2">
      <c r="A269" s="2">
        <v>268</v>
      </c>
      <c r="B269" s="30" t="s">
        <v>357</v>
      </c>
      <c r="C269" s="36" t="s">
        <v>368</v>
      </c>
      <c r="D269" s="2" t="s">
        <v>236</v>
      </c>
      <c r="E269" s="2" t="s">
        <v>45</v>
      </c>
      <c r="M269" s="31" t="str" cm="1">
        <f t="array" ref="M269">PAGE_NAME(B269)</f>
        <v>openid-connect-core-1_0</v>
      </c>
      <c r="N269" s="31" t="str" cm="1">
        <f t="array" ref="N269">SECTION_NAME(B269)</f>
        <v>AuthRequestValidation</v>
      </c>
      <c r="O269" s="5" t="str">
        <f t="shared" si="174"/>
        <v/>
      </c>
      <c r="P269" s="5" t="str">
        <f t="shared" si="175"/>
        <v>Server</v>
      </c>
      <c r="R269" s="5" t="s">
        <v>439</v>
      </c>
    </row>
    <row r="270" spans="1:18" ht="183.5" customHeight="1" x14ac:dyDescent="0.2">
      <c r="A270" s="2">
        <v>269</v>
      </c>
      <c r="B270" s="30" t="s">
        <v>357</v>
      </c>
      <c r="C270" s="36" t="s">
        <v>369</v>
      </c>
      <c r="D270" s="2" t="s">
        <v>30</v>
      </c>
      <c r="E270" s="2" t="s">
        <v>45</v>
      </c>
      <c r="M270" s="31" t="str" cm="1">
        <f t="array" ref="M270">PAGE_NAME(B270)</f>
        <v>openid-connect-core-1_0</v>
      </c>
      <c r="N270" s="31" t="str" cm="1">
        <f t="array" ref="N270">SECTION_NAME(B270)</f>
        <v>AuthRequestValidation</v>
      </c>
      <c r="O270" s="5" t="str">
        <f t="shared" si="174"/>
        <v/>
      </c>
      <c r="P270" s="5" t="str">
        <f t="shared" si="175"/>
        <v>Server</v>
      </c>
      <c r="R270" s="5" t="s">
        <v>439</v>
      </c>
    </row>
    <row r="271" spans="1:18" ht="183.5" customHeight="1" x14ac:dyDescent="0.2">
      <c r="A271" s="2">
        <v>270</v>
      </c>
      <c r="B271" s="30" t="s">
        <v>347</v>
      </c>
      <c r="C271" s="36" t="s">
        <v>370</v>
      </c>
      <c r="D271" s="2" t="s">
        <v>30</v>
      </c>
      <c r="E271" s="2" t="s">
        <v>45</v>
      </c>
      <c r="M271" s="31" t="str" cm="1">
        <f t="array" ref="M271">PAGE_NAME(B271)</f>
        <v>udap-user-auth-stu1</v>
      </c>
      <c r="N271" s="31" t="str" cm="1">
        <f t="array" ref="N271">SECTION_NAME(B271)</f>
        <v/>
      </c>
      <c r="O271" s="5" t="str">
        <f t="shared" si="174"/>
        <v/>
      </c>
      <c r="P271" s="5" t="str">
        <f t="shared" si="175"/>
        <v/>
      </c>
      <c r="R271" s="5" t="s">
        <v>439</v>
      </c>
    </row>
    <row r="272" spans="1:18" ht="183.5" customHeight="1" x14ac:dyDescent="0.2">
      <c r="A272" s="2">
        <v>271</v>
      </c>
      <c r="B272" s="30" t="s">
        <v>347</v>
      </c>
      <c r="C272" s="36" t="s">
        <v>371</v>
      </c>
      <c r="D272" s="2" t="s">
        <v>236</v>
      </c>
      <c r="E272" s="2" t="s">
        <v>45</v>
      </c>
      <c r="M272" s="31" t="str" cm="1">
        <f t="array" ref="M272">PAGE_NAME(B272)</f>
        <v>udap-user-auth-stu1</v>
      </c>
      <c r="N272" s="31" t="str" cm="1">
        <f t="array" ref="N272">SECTION_NAME(B272)</f>
        <v/>
      </c>
      <c r="O272" s="5" t="str">
        <f t="shared" si="174"/>
        <v/>
      </c>
      <c r="P272" s="5" t="str">
        <f t="shared" si="175"/>
        <v>Server</v>
      </c>
      <c r="R272" s="5" t="s">
        <v>439</v>
      </c>
    </row>
    <row r="273" spans="1:18" ht="183.5" customHeight="1" x14ac:dyDescent="0.2">
      <c r="A273" s="2">
        <v>272</v>
      </c>
      <c r="B273" s="30" t="s">
        <v>347</v>
      </c>
      <c r="C273" s="36" t="s">
        <v>372</v>
      </c>
      <c r="D273" s="2" t="s">
        <v>30</v>
      </c>
      <c r="E273" s="2" t="s">
        <v>45</v>
      </c>
      <c r="M273" s="31" t="str" cm="1">
        <f t="array" ref="M273">PAGE_NAME(B273)</f>
        <v>udap-user-auth-stu1</v>
      </c>
      <c r="N273" s="31" t="str" cm="1">
        <f t="array" ref="N273">SECTION_NAME(B273)</f>
        <v/>
      </c>
      <c r="O273" s="5" t="str">
        <f t="shared" si="174"/>
        <v/>
      </c>
      <c r="P273" s="5" t="str">
        <f t="shared" si="175"/>
        <v/>
      </c>
      <c r="R273" s="5" t="s">
        <v>439</v>
      </c>
    </row>
    <row r="274" spans="1:18" ht="183.5" customHeight="1" x14ac:dyDescent="0.2">
      <c r="A274" s="2">
        <v>273</v>
      </c>
      <c r="B274" s="30" t="s">
        <v>347</v>
      </c>
      <c r="C274" s="36" t="s">
        <v>373</v>
      </c>
      <c r="D274" s="2" t="s">
        <v>30</v>
      </c>
      <c r="E274" s="2" t="s">
        <v>45</v>
      </c>
      <c r="M274" s="31" t="str" cm="1">
        <f t="array" ref="M274">PAGE_NAME(B274)</f>
        <v>udap-user-auth-stu1</v>
      </c>
      <c r="N274" s="31" t="str" cm="1">
        <f t="array" ref="N274">SECTION_NAME(B274)</f>
        <v/>
      </c>
      <c r="O274" s="5" t="str">
        <f t="shared" si="174"/>
        <v/>
      </c>
      <c r="P274" s="5" t="str">
        <f t="shared" si="175"/>
        <v>Client</v>
      </c>
      <c r="R274" s="5" t="s">
        <v>439</v>
      </c>
    </row>
    <row r="275" spans="1:18" ht="183.5" customHeight="1" x14ac:dyDescent="0.2">
      <c r="A275" s="2">
        <v>274</v>
      </c>
      <c r="B275" s="30" t="s">
        <v>347</v>
      </c>
      <c r="C275" s="36" t="s">
        <v>374</v>
      </c>
      <c r="D275" s="2" t="s">
        <v>30</v>
      </c>
      <c r="E275" s="2" t="s">
        <v>54</v>
      </c>
      <c r="M275" s="31" t="str" cm="1">
        <f t="array" ref="M275">PAGE_NAME(B275)</f>
        <v>udap-user-auth-stu1</v>
      </c>
      <c r="N275" s="31" t="str" cm="1">
        <f t="array" ref="N275">SECTION_NAME(B275)</f>
        <v/>
      </c>
      <c r="O275" s="5" t="str">
        <f t="shared" si="174"/>
        <v/>
      </c>
      <c r="P275" s="5" t="str">
        <f t="shared" si="175"/>
        <v>Client</v>
      </c>
      <c r="R275" s="5" t="s">
        <v>439</v>
      </c>
    </row>
    <row r="276" spans="1:18" ht="183.5" customHeight="1" x14ac:dyDescent="0.2">
      <c r="A276" s="2">
        <v>275</v>
      </c>
      <c r="B276" s="30" t="s">
        <v>375</v>
      </c>
      <c r="C276" s="36" t="s">
        <v>376</v>
      </c>
      <c r="D276" s="2" t="s">
        <v>30</v>
      </c>
      <c r="E276" s="2" t="s">
        <v>317</v>
      </c>
      <c r="M276" s="31" t="str" cm="1">
        <f t="array" ref="M276">PAGE_NAME(B276)</f>
        <v/>
      </c>
      <c r="N276" s="31" t="str" cm="1">
        <f t="array" ref="N276">SECTION_NAME(B276)</f>
        <v>section-10.12</v>
      </c>
      <c r="O276" s="5" t="str">
        <f t="shared" si="174"/>
        <v/>
      </c>
      <c r="P276" s="5" t="str">
        <f t="shared" si="175"/>
        <v>Client</v>
      </c>
      <c r="R276" s="5" t="s">
        <v>439</v>
      </c>
    </row>
    <row r="277" spans="1:18" ht="183.5" customHeight="1" x14ac:dyDescent="0.2">
      <c r="A277" s="2">
        <v>276</v>
      </c>
      <c r="B277" s="30" t="s">
        <v>375</v>
      </c>
      <c r="C277" s="36" t="s">
        <v>377</v>
      </c>
      <c r="D277" s="2" t="s">
        <v>30</v>
      </c>
      <c r="E277" s="2" t="s">
        <v>317</v>
      </c>
      <c r="M277" s="31" t="str" cm="1">
        <f t="array" ref="M277">PAGE_NAME(B277)</f>
        <v/>
      </c>
      <c r="N277" s="31" t="str" cm="1">
        <f t="array" ref="N277">SECTION_NAME(B277)</f>
        <v>section-10.12</v>
      </c>
      <c r="O277" s="5" t="str">
        <f t="shared" si="174"/>
        <v/>
      </c>
      <c r="P277" s="5" t="str">
        <f t="shared" si="175"/>
        <v/>
      </c>
      <c r="R277" s="5" t="s">
        <v>439</v>
      </c>
    </row>
    <row r="278" spans="1:18" ht="183.5" customHeight="1" x14ac:dyDescent="0.2">
      <c r="A278" s="2">
        <v>277</v>
      </c>
      <c r="B278" s="30" t="s">
        <v>375</v>
      </c>
      <c r="C278" s="36" t="s">
        <v>378</v>
      </c>
      <c r="D278" s="2" t="s">
        <v>30</v>
      </c>
      <c r="E278" s="2" t="s">
        <v>317</v>
      </c>
      <c r="M278" s="31" t="str" cm="1">
        <f t="array" ref="M278">PAGE_NAME(B278)</f>
        <v/>
      </c>
      <c r="N278" s="31" t="str" cm="1">
        <f t="array" ref="N278">SECTION_NAME(B278)</f>
        <v>section-10.12</v>
      </c>
      <c r="O278" s="5" t="str">
        <f t="shared" si="174"/>
        <v/>
      </c>
      <c r="P278" s="5" t="str">
        <f t="shared" si="175"/>
        <v>Client</v>
      </c>
      <c r="R278" s="5" t="s">
        <v>439</v>
      </c>
    </row>
    <row r="279" spans="1:18" ht="183.5" customHeight="1" x14ac:dyDescent="0.2">
      <c r="A279" s="2">
        <v>278</v>
      </c>
      <c r="B279" s="30" t="s">
        <v>375</v>
      </c>
      <c r="C279" s="36" t="s">
        <v>379</v>
      </c>
      <c r="D279" s="2" t="s">
        <v>30</v>
      </c>
      <c r="E279" s="2" t="s">
        <v>45</v>
      </c>
      <c r="M279" s="31" t="str" cm="1">
        <f t="array" ref="M279">PAGE_NAME(B279)</f>
        <v/>
      </c>
      <c r="N279" s="31" t="str" cm="1">
        <f t="array" ref="N279">SECTION_NAME(B279)</f>
        <v>section-10.12</v>
      </c>
      <c r="O279" s="5" t="str">
        <f t="shared" si="174"/>
        <v/>
      </c>
      <c r="P279" s="5" t="str">
        <f t="shared" si="175"/>
        <v>Server</v>
      </c>
      <c r="R279" s="5" t="s">
        <v>439</v>
      </c>
    </row>
    <row r="280" spans="1:18" ht="183.5" customHeight="1" x14ac:dyDescent="0.2">
      <c r="A280" s="2">
        <v>279</v>
      </c>
      <c r="B280" s="30" t="s">
        <v>324</v>
      </c>
      <c r="C280" s="36" t="s">
        <v>380</v>
      </c>
      <c r="D280" s="2" t="s">
        <v>30</v>
      </c>
      <c r="E280" s="2" t="s">
        <v>45</v>
      </c>
      <c r="F280" s="2" t="s">
        <v>381</v>
      </c>
      <c r="M280" s="31" t="str" cm="1">
        <f t="array" ref="M280">PAGE_NAME(B280)</f>
        <v>user</v>
      </c>
      <c r="N280" s="31" t="str" cm="1">
        <f t="array" ref="N280">SECTION_NAME(B280)</f>
        <v>data-holder-authentication-request-to-idp</v>
      </c>
      <c r="O280" s="5" t="str">
        <f t="shared" ref="O280" si="176">IF(ISNUMBER(SEARCH("MAY", C280)), "MAY", IF(ISNUMBER(SEARCH("SHOULD", C280)), "SHOULD", IF(ISNUMBER(SEARCH("SHALL", C280)), "SHALL", IF(ISNUMBER(SEARCH("SHOULD NOT", C280)), "SHOULD NOT", IF(ISNUMBER(SEARCH("SHALL NOT", C280)), "SHALL NOT", "")))))</f>
        <v>SHALL</v>
      </c>
      <c r="P280" s="5" t="str">
        <f t="shared" ref="P280" si="177">IF(ISNUMBER(SEARCH("server", C280)), "Server", IF(ISNUMBER(SEARCH("Server", C280)), "Server", IF(ISNUMBER(SEARCH("client", C280)), "Client", IF(ISNUMBER(SEARCH("Client", C280)), "Client", IF(ISNUMBER(SEARCH("US Core Responder", C280)), "Server", IF(ISNUMBER(SEARCH("US Core Requestor", C280)), "Client", ""))))))</f>
        <v/>
      </c>
      <c r="R280" s="5" t="s">
        <v>439</v>
      </c>
    </row>
    <row r="281" spans="1:18" ht="183.5" customHeight="1" x14ac:dyDescent="0.2">
      <c r="A281" s="2">
        <v>280</v>
      </c>
      <c r="B281" s="30" t="s">
        <v>382</v>
      </c>
      <c r="C281" s="36" t="s">
        <v>383</v>
      </c>
      <c r="D281" s="2" t="s">
        <v>30</v>
      </c>
      <c r="E281" s="2" t="s">
        <v>54</v>
      </c>
      <c r="G281" s="2" t="b">
        <v>1</v>
      </c>
      <c r="M281" s="31" t="str" cm="1">
        <f t="array" ref="M281">PAGE_NAME(B281)</f>
        <v>openid-connect-core-1_0</v>
      </c>
      <c r="N281" s="31" t="str" cm="1">
        <f t="array" ref="N281">SECTION_NAME(B281)</f>
        <v>TokenRequest</v>
      </c>
      <c r="O281" s="5" t="str">
        <f>IF(ISNUMBER(SEARCH("MAY", C281)), "MAY", IF(ISNUMBER(SEARCH("SHOULD", C281)), "SHOULD", IF(ISNUMBER(SEARCH("SHALL", C281)), "SHALL", IF(ISNUMBER(SEARCH("SHOULD NOT", C281)), "SHOULD NOT", IF(ISNUMBER(SEARCH("SHALL NOT", C281)), "SHALL NOT", "")))))</f>
        <v/>
      </c>
      <c r="P281" s="5" t="str">
        <f>IF(ISNUMBER(SEARCH("server", C281)), "Server", IF(ISNUMBER(SEARCH("Server", C281)), "Server", IF(ISNUMBER(SEARCH("client", C281)), "Client", IF(ISNUMBER(SEARCH("Client", C281)), "Client", IF(ISNUMBER(SEARCH("US Core Responder", C281)), "Server", IF(ISNUMBER(SEARCH("US Core Requestor", C281)), "Client", ""))))))</f>
        <v>Client</v>
      </c>
      <c r="R281" s="5" t="s">
        <v>439</v>
      </c>
    </row>
    <row r="282" spans="1:18" ht="183.5" customHeight="1" x14ac:dyDescent="0.2">
      <c r="A282" s="2">
        <v>281</v>
      </c>
      <c r="B282" s="30" t="s">
        <v>347</v>
      </c>
      <c r="C282" s="36" t="s">
        <v>384</v>
      </c>
      <c r="D282" s="2" t="s">
        <v>30</v>
      </c>
      <c r="E282" s="2" t="s">
        <v>54</v>
      </c>
      <c r="M282" s="31" t="str" cm="1">
        <f t="array" ref="M282">PAGE_NAME(B282)</f>
        <v>udap-user-auth-stu1</v>
      </c>
      <c r="N282" s="31" t="str" cm="1">
        <f t="array" ref="N282">SECTION_NAME(B282)</f>
        <v/>
      </c>
      <c r="O282" s="5" t="str">
        <f>IF(ISNUMBER(SEARCH("MAY", C282)), "MAY", IF(ISNUMBER(SEARCH("SHOULD", C282)), "SHOULD", IF(ISNUMBER(SEARCH("SHALL", C282)), "SHALL", IF(ISNUMBER(SEARCH("SHOULD NOT", C282)), "SHOULD NOT", IF(ISNUMBER(SEARCH("SHALL NOT", C282)), "SHALL NOT", "")))))</f>
        <v/>
      </c>
      <c r="P282" s="5" t="str">
        <f>IF(ISNUMBER(SEARCH("server", C282)), "Server", IF(ISNUMBER(SEARCH("Server", C282)), "Server", IF(ISNUMBER(SEARCH("client", C282)), "Client", IF(ISNUMBER(SEARCH("Client", C282)), "Client", IF(ISNUMBER(SEARCH("US Core Responder", C282)), "Server", IF(ISNUMBER(SEARCH("US Core Requestor", C282)), "Client", ""))))))</f>
        <v>Client</v>
      </c>
      <c r="R282" s="5" t="s">
        <v>439</v>
      </c>
    </row>
    <row r="283" spans="1:18" ht="183.5" customHeight="1" x14ac:dyDescent="0.2">
      <c r="A283" s="2">
        <v>282</v>
      </c>
      <c r="B283" s="30" t="s">
        <v>324</v>
      </c>
      <c r="C283" s="36" t="s">
        <v>385</v>
      </c>
      <c r="D283" s="2" t="s">
        <v>30</v>
      </c>
      <c r="E283" s="2" t="s">
        <v>45</v>
      </c>
      <c r="M283" s="31" t="str" cm="1">
        <f t="array" ref="M283">PAGE_NAME(B283)</f>
        <v>user</v>
      </c>
      <c r="N283" s="31" t="str" cm="1">
        <f t="array" ref="N283">SECTION_NAME(B283)</f>
        <v>data-holder-authentication-request-to-idp</v>
      </c>
      <c r="O283" s="5" t="str">
        <f t="shared" ref="O283" si="178">IF(ISNUMBER(SEARCH("MAY", C283)), "MAY", IF(ISNUMBER(SEARCH("SHOULD", C283)), "SHOULD", IF(ISNUMBER(SEARCH("SHALL", C283)), "SHALL", IF(ISNUMBER(SEARCH("SHOULD NOT", C283)), "SHOULD NOT", IF(ISNUMBER(SEARCH("SHALL NOT", C283)), "SHALL NOT", "")))))</f>
        <v>SHALL</v>
      </c>
      <c r="P283" s="5" t="str">
        <f t="shared" ref="P283" si="179">IF(ISNUMBER(SEARCH("server", C283)), "Server", IF(ISNUMBER(SEARCH("Server", C283)), "Server", IF(ISNUMBER(SEARCH("client", C283)), "Client", IF(ISNUMBER(SEARCH("Client", C283)), "Client", IF(ISNUMBER(SEARCH("US Core Responder", C283)), "Server", IF(ISNUMBER(SEARCH("US Core Requestor", C283)), "Client", ""))))))</f>
        <v/>
      </c>
      <c r="R283" s="5" t="s">
        <v>439</v>
      </c>
    </row>
    <row r="284" spans="1:18" ht="183.5" customHeight="1" x14ac:dyDescent="0.2">
      <c r="A284" s="2">
        <v>283</v>
      </c>
      <c r="B284" s="30" t="s">
        <v>386</v>
      </c>
      <c r="C284" s="36" t="s">
        <v>387</v>
      </c>
      <c r="D284" s="2" t="s">
        <v>30</v>
      </c>
      <c r="E284" s="2" t="s">
        <v>45</v>
      </c>
      <c r="O284" s="5" t="str">
        <f t="shared" ref="O284:O291" si="180">IF(ISNUMBER(SEARCH("MAY", C284)), "MAY", IF(ISNUMBER(SEARCH("SHOULD", C284)), "SHOULD", IF(ISNUMBER(SEARCH("SHALL", C284)), "SHALL", IF(ISNUMBER(SEARCH("SHOULD NOT", C284)), "SHOULD NOT", IF(ISNUMBER(SEARCH("SHALL NOT", C284)), "SHALL NOT", "")))))</f>
        <v/>
      </c>
      <c r="P284" s="5" t="str">
        <f t="shared" ref="P284:P291" si="181">IF(ISNUMBER(SEARCH("server", C284)), "Server", IF(ISNUMBER(SEARCH("Server", C284)), "Server", IF(ISNUMBER(SEARCH("client", C284)), "Client", IF(ISNUMBER(SEARCH("Client", C284)), "Client", IF(ISNUMBER(SEARCH("US Core Responder", C284)), "Server", IF(ISNUMBER(SEARCH("US Core Requestor", C284)), "Client", ""))))))</f>
        <v>Client</v>
      </c>
      <c r="R284" s="5" t="s">
        <v>439</v>
      </c>
    </row>
    <row r="285" spans="1:18" ht="183.5" customHeight="1" x14ac:dyDescent="0.2">
      <c r="A285" s="2">
        <v>284</v>
      </c>
      <c r="B285" s="30" t="s">
        <v>386</v>
      </c>
      <c r="C285" s="36" t="s">
        <v>388</v>
      </c>
      <c r="D285" s="2" t="s">
        <v>30</v>
      </c>
      <c r="E285" s="2" t="s">
        <v>45</v>
      </c>
      <c r="O285" s="5" t="str">
        <f t="shared" si="180"/>
        <v/>
      </c>
      <c r="P285" s="5" t="str">
        <f t="shared" si="181"/>
        <v/>
      </c>
      <c r="R285" s="5" t="s">
        <v>439</v>
      </c>
    </row>
    <row r="286" spans="1:18" ht="183.5" customHeight="1" x14ac:dyDescent="0.2">
      <c r="A286" s="2">
        <v>285</v>
      </c>
      <c r="B286" s="30" t="s">
        <v>386</v>
      </c>
      <c r="C286" s="36" t="s">
        <v>389</v>
      </c>
      <c r="D286" s="2" t="s">
        <v>30</v>
      </c>
      <c r="E286" s="2" t="s">
        <v>45</v>
      </c>
      <c r="O286" s="5" t="str">
        <f t="shared" si="180"/>
        <v/>
      </c>
      <c r="P286" s="5" t="str">
        <f t="shared" si="181"/>
        <v/>
      </c>
      <c r="R286" s="5" t="s">
        <v>439</v>
      </c>
    </row>
    <row r="287" spans="1:18" ht="183.5" customHeight="1" x14ac:dyDescent="0.2">
      <c r="A287" s="2">
        <v>286</v>
      </c>
      <c r="B287" s="30" t="s">
        <v>386</v>
      </c>
      <c r="C287" s="36" t="s">
        <v>390</v>
      </c>
      <c r="D287" s="2" t="s">
        <v>30</v>
      </c>
      <c r="E287" s="2" t="s">
        <v>54</v>
      </c>
      <c r="O287" s="5" t="str">
        <f t="shared" si="180"/>
        <v/>
      </c>
      <c r="P287" s="5" t="str">
        <f t="shared" si="181"/>
        <v>Client</v>
      </c>
      <c r="R287" s="5" t="s">
        <v>439</v>
      </c>
    </row>
    <row r="288" spans="1:18" ht="183.5" customHeight="1" x14ac:dyDescent="0.2">
      <c r="A288" s="2">
        <v>287</v>
      </c>
      <c r="B288" s="30" t="s">
        <v>386</v>
      </c>
      <c r="C288" s="36" t="s">
        <v>391</v>
      </c>
      <c r="D288" s="2" t="s">
        <v>236</v>
      </c>
      <c r="E288" s="2" t="s">
        <v>45</v>
      </c>
      <c r="O288" s="5" t="str">
        <f t="shared" si="180"/>
        <v/>
      </c>
      <c r="P288" s="5" t="str">
        <f t="shared" si="181"/>
        <v>Server</v>
      </c>
      <c r="R288" s="5" t="s">
        <v>439</v>
      </c>
    </row>
    <row r="289" spans="1:18" ht="183.5" customHeight="1" x14ac:dyDescent="0.2">
      <c r="A289" s="2">
        <v>288</v>
      </c>
      <c r="B289" s="30" t="s">
        <v>386</v>
      </c>
      <c r="C289" s="36" t="s">
        <v>392</v>
      </c>
      <c r="D289" s="2" t="s">
        <v>30</v>
      </c>
      <c r="E289" s="2" t="s">
        <v>45</v>
      </c>
      <c r="O289" s="5" t="str">
        <f t="shared" si="180"/>
        <v/>
      </c>
      <c r="P289" s="5" t="str">
        <f t="shared" si="181"/>
        <v>Server</v>
      </c>
      <c r="R289" s="5" t="s">
        <v>439</v>
      </c>
    </row>
    <row r="290" spans="1:18" ht="183.5" customHeight="1" x14ac:dyDescent="0.2">
      <c r="A290" s="2">
        <v>289</v>
      </c>
      <c r="B290" s="30" t="s">
        <v>386</v>
      </c>
      <c r="C290" s="36" t="s">
        <v>393</v>
      </c>
      <c r="D290" s="2" t="s">
        <v>30</v>
      </c>
      <c r="E290" s="2" t="s">
        <v>45</v>
      </c>
      <c r="O290" s="5" t="str">
        <f t="shared" si="180"/>
        <v/>
      </c>
      <c r="P290" s="5" t="str">
        <f t="shared" si="181"/>
        <v>Client</v>
      </c>
      <c r="R290" s="5" t="s">
        <v>439</v>
      </c>
    </row>
    <row r="291" spans="1:18" ht="183.5" customHeight="1" x14ac:dyDescent="0.2">
      <c r="A291" s="2">
        <v>290</v>
      </c>
      <c r="B291" s="30" t="s">
        <v>386</v>
      </c>
      <c r="C291" s="36" t="s">
        <v>394</v>
      </c>
      <c r="D291" s="2" t="s">
        <v>30</v>
      </c>
      <c r="E291" s="2" t="s">
        <v>45</v>
      </c>
      <c r="O291" s="5" t="str">
        <f t="shared" si="180"/>
        <v/>
      </c>
      <c r="P291" s="5" t="str">
        <f t="shared" si="181"/>
        <v>Client</v>
      </c>
      <c r="R291" s="5" t="s">
        <v>439</v>
      </c>
    </row>
    <row r="292" spans="1:18" ht="183.5" customHeight="1" x14ac:dyDescent="0.2">
      <c r="A292" s="2">
        <v>291</v>
      </c>
      <c r="B292" s="30" t="s">
        <v>324</v>
      </c>
      <c r="C292" s="36" t="s">
        <v>395</v>
      </c>
      <c r="D292" s="2" t="s">
        <v>30</v>
      </c>
      <c r="E292" s="2" t="s">
        <v>45</v>
      </c>
      <c r="M292" s="31" t="str" cm="1">
        <f t="array" ref="M292">PAGE_NAME(B292)</f>
        <v>user</v>
      </c>
      <c r="N292" s="31" t="str" cm="1">
        <f t="array" ref="N292">SECTION_NAME(B292)</f>
        <v>data-holder-authentication-request-to-idp</v>
      </c>
      <c r="O292" s="5" t="str">
        <f t="shared" ref="O292" si="182">IF(ISNUMBER(SEARCH("MAY", C292)), "MAY", IF(ISNUMBER(SEARCH("SHOULD", C292)), "SHOULD", IF(ISNUMBER(SEARCH("SHALL", C292)), "SHALL", IF(ISNUMBER(SEARCH("SHOULD NOT", C292)), "SHOULD NOT", IF(ISNUMBER(SEARCH("SHALL NOT", C292)), "SHALL NOT", "")))))</f>
        <v>MAY</v>
      </c>
      <c r="P292" s="5" t="str">
        <f t="shared" ref="P292" si="183">IF(ISNUMBER(SEARCH("server", C292)), "Server", IF(ISNUMBER(SEARCH("Server", C292)), "Server", IF(ISNUMBER(SEARCH("client", C292)), "Client", IF(ISNUMBER(SEARCH("Client", C292)), "Client", IF(ISNUMBER(SEARCH("US Core Responder", C292)), "Server", IF(ISNUMBER(SEARCH("US Core Requestor", C292)), "Client", ""))))))</f>
        <v>Client</v>
      </c>
      <c r="R292" s="5" t="s">
        <v>439</v>
      </c>
    </row>
    <row r="293" spans="1:18" ht="183.5" customHeight="1" x14ac:dyDescent="0.2">
      <c r="A293" s="2">
        <v>292</v>
      </c>
      <c r="B293" s="30" t="s">
        <v>396</v>
      </c>
      <c r="C293" s="36" t="s">
        <v>397</v>
      </c>
      <c r="D293" s="2" t="s">
        <v>37</v>
      </c>
      <c r="E293" s="2" t="s">
        <v>45</v>
      </c>
      <c r="M293" s="31" t="str" cm="1">
        <f t="array" ref="M293">PAGE_NAME(B293)</f>
        <v>user</v>
      </c>
      <c r="N293" s="31" t="str" cm="1">
        <f t="array" ref="N293">SECTION_NAME(B293)</f>
        <v>data-holder-interaction-with-user-after-authentication</v>
      </c>
      <c r="O293" s="5" t="str">
        <f t="shared" ref="O293" si="184">IF(ISNUMBER(SEARCH("MAY", C293)), "MAY", IF(ISNUMBER(SEARCH("SHOULD", C293)), "SHOULD", IF(ISNUMBER(SEARCH("SHALL", C293)), "SHALL", IF(ISNUMBER(SEARCH("SHOULD NOT", C293)), "SHOULD NOT", IF(ISNUMBER(SEARCH("SHALL NOT", C293)), "SHALL NOT", "")))))</f>
        <v>SHOULD</v>
      </c>
      <c r="P293" s="5" t="str">
        <f t="shared" ref="P293" si="185">IF(ISNUMBER(SEARCH("server", C293)), "Server", IF(ISNUMBER(SEARCH("Server", C293)), "Server", IF(ISNUMBER(SEARCH("client", C293)), "Client", IF(ISNUMBER(SEARCH("Client", C293)), "Client", IF(ISNUMBER(SEARCH("US Core Responder", C293)), "Server", IF(ISNUMBER(SEARCH("US Core Requestor", C293)), "Client", ""))))))</f>
        <v/>
      </c>
      <c r="R293" s="5" t="s">
        <v>439</v>
      </c>
    </row>
    <row r="294" spans="1:18" ht="183.5" customHeight="1" x14ac:dyDescent="0.2">
      <c r="A294" s="2">
        <v>293</v>
      </c>
      <c r="B294" s="30" t="s">
        <v>396</v>
      </c>
      <c r="C294" s="36" t="s">
        <v>398</v>
      </c>
      <c r="D294" s="2" t="s">
        <v>39</v>
      </c>
      <c r="E294" s="2" t="s">
        <v>45</v>
      </c>
      <c r="M294" s="31" t="str" cm="1">
        <f t="array" ref="M294">PAGE_NAME(B294)</f>
        <v>user</v>
      </c>
      <c r="N294" s="31" t="str" cm="1">
        <f t="array" ref="N294">SECTION_NAME(B294)</f>
        <v>data-holder-interaction-with-user-after-authentication</v>
      </c>
      <c r="O294" s="5" t="str">
        <f>IF(ISNUMBER(SEARCH("MAY", C294)), "MAY", IF(ISNUMBER(SEARCH("SHOULD", C294)), "SHOULD", IF(ISNUMBER(SEARCH("SHALL", C294)), "SHALL", IF(ISNUMBER(SEARCH("SHOULD NOT", C294)), "SHOULD NOT", IF(ISNUMBER(SEARCH("SHALL NOT", C294)), "SHALL NOT", "")))))</f>
        <v/>
      </c>
      <c r="P294" s="5" t="str">
        <f>IF(ISNUMBER(SEARCH("server", C294)), "Server", IF(ISNUMBER(SEARCH("Server", C294)), "Server", IF(ISNUMBER(SEARCH("client", C294)), "Client", IF(ISNUMBER(SEARCH("Client", C294)), "Client", IF(ISNUMBER(SEARCH("US Core Responder", C294)), "Server", IF(ISNUMBER(SEARCH("US Core Requestor", C294)), "Client", ""))))))</f>
        <v/>
      </c>
      <c r="R294" s="5" t="s">
        <v>439</v>
      </c>
    </row>
    <row r="295" spans="1:18" ht="183.5" customHeight="1" x14ac:dyDescent="0.2">
      <c r="A295" s="2">
        <v>294</v>
      </c>
      <c r="B295" s="30" t="s">
        <v>396</v>
      </c>
      <c r="C295" s="36" t="s">
        <v>399</v>
      </c>
      <c r="D295" s="2" t="s">
        <v>39</v>
      </c>
      <c r="E295" s="2" t="s">
        <v>45</v>
      </c>
      <c r="M295" s="31" t="str" cm="1">
        <f t="array" ref="M295">PAGE_NAME(B295)</f>
        <v>user</v>
      </c>
      <c r="N295" s="31" t="str" cm="1">
        <f t="array" ref="N295">SECTION_NAME(B295)</f>
        <v>data-holder-interaction-with-user-after-authentication</v>
      </c>
      <c r="O295" s="5" t="str">
        <f>IF(ISNUMBER(SEARCH("MAY", C295)), "MAY", IF(ISNUMBER(SEARCH("SHOULD", C295)), "SHOULD", IF(ISNUMBER(SEARCH("SHALL", C295)), "SHALL", IF(ISNUMBER(SEARCH("SHOULD NOT", C295)), "SHOULD NOT", IF(ISNUMBER(SEARCH("SHALL NOT", C295)), "SHALL NOT", "")))))</f>
        <v>MAY</v>
      </c>
      <c r="P295" s="5" t="str">
        <f>IF(ISNUMBER(SEARCH("server", C295)), "Server", IF(ISNUMBER(SEARCH("Server", C295)), "Server", IF(ISNUMBER(SEARCH("client", C295)), "Client", IF(ISNUMBER(SEARCH("Client", C295)), "Client", IF(ISNUMBER(SEARCH("US Core Responder", C295)), "Server", IF(ISNUMBER(SEARCH("US Core Requestor", C295)), "Client", ""))))))</f>
        <v/>
      </c>
      <c r="R295" s="5" t="s">
        <v>439</v>
      </c>
    </row>
    <row r="296" spans="1:18" ht="183.5" customHeight="1" x14ac:dyDescent="0.2">
      <c r="A296" s="2">
        <v>295</v>
      </c>
      <c r="B296" s="30" t="s">
        <v>396</v>
      </c>
      <c r="C296" s="36" t="s">
        <v>400</v>
      </c>
      <c r="D296" s="2" t="s">
        <v>39</v>
      </c>
      <c r="E296" s="2" t="s">
        <v>45</v>
      </c>
      <c r="M296" s="31" t="str" cm="1">
        <f t="array" ref="M296">PAGE_NAME(B296)</f>
        <v>user</v>
      </c>
      <c r="N296" s="31" t="str" cm="1">
        <f t="array" ref="N296">SECTION_NAME(B296)</f>
        <v>data-holder-interaction-with-user-after-authentication</v>
      </c>
      <c r="O296" s="5" t="str">
        <f t="shared" ref="O296" si="186">IF(ISNUMBER(SEARCH("MAY", C296)), "MAY", IF(ISNUMBER(SEARCH("SHOULD", C296)), "SHOULD", IF(ISNUMBER(SEARCH("SHALL", C296)), "SHALL", IF(ISNUMBER(SEARCH("SHOULD NOT", C296)), "SHOULD NOT", IF(ISNUMBER(SEARCH("SHALL NOT", C296)), "SHALL NOT", "")))))</f>
        <v>MAY</v>
      </c>
      <c r="P296" s="5" t="str">
        <f t="shared" ref="P296" si="187">IF(ISNUMBER(SEARCH("server", C296)), "Server", IF(ISNUMBER(SEARCH("Server", C296)), "Server", IF(ISNUMBER(SEARCH("client", C296)), "Client", IF(ISNUMBER(SEARCH("Client", C296)), "Client", IF(ISNUMBER(SEARCH("US Core Responder", C296)), "Server", IF(ISNUMBER(SEARCH("US Core Requestor", C296)), "Client", ""))))))</f>
        <v/>
      </c>
      <c r="R296" s="5" t="s">
        <v>439</v>
      </c>
    </row>
    <row r="297" spans="1:18" ht="183.5" customHeight="1" x14ac:dyDescent="0.2">
      <c r="A297" s="2">
        <v>296</v>
      </c>
      <c r="B297" s="30" t="s">
        <v>396</v>
      </c>
      <c r="C297" s="36" t="s">
        <v>401</v>
      </c>
      <c r="D297" s="2" t="s">
        <v>30</v>
      </c>
      <c r="E297" s="2" t="s">
        <v>45</v>
      </c>
      <c r="M297" s="31" t="str" cm="1">
        <f t="array" ref="M297">PAGE_NAME(B297)</f>
        <v>user</v>
      </c>
      <c r="N297" s="31" t="str" cm="1">
        <f t="array" ref="N297">SECTION_NAME(B297)</f>
        <v>data-holder-interaction-with-user-after-authentication</v>
      </c>
      <c r="O297" s="5" t="str">
        <f t="shared" ref="O297" si="188">IF(ISNUMBER(SEARCH("MAY", C297)), "MAY", IF(ISNUMBER(SEARCH("SHOULD", C297)), "SHOULD", IF(ISNUMBER(SEARCH("SHALL", C297)), "SHALL", IF(ISNUMBER(SEARCH("SHOULD NOT", C297)), "SHOULD NOT", IF(ISNUMBER(SEARCH("SHALL NOT", C297)), "SHALL NOT", "")))))</f>
        <v>SHALL</v>
      </c>
      <c r="P297" s="5" t="str">
        <f t="shared" ref="P297" si="189">IF(ISNUMBER(SEARCH("server", C297)), "Server", IF(ISNUMBER(SEARCH("Server", C297)), "Server", IF(ISNUMBER(SEARCH("client", C297)), "Client", IF(ISNUMBER(SEARCH("Client", C297)), "Client", IF(ISNUMBER(SEARCH("US Core Responder", C297)), "Server", IF(ISNUMBER(SEARCH("US Core Requestor", C297)), "Client", ""))))))</f>
        <v>Client</v>
      </c>
      <c r="R297" s="5" t="s">
        <v>439</v>
      </c>
    </row>
    <row r="298" spans="1:18" ht="272" x14ac:dyDescent="0.2">
      <c r="A298" s="2">
        <v>297</v>
      </c>
      <c r="B298" s="30" t="s">
        <v>396</v>
      </c>
      <c r="C298" s="36" t="s">
        <v>402</v>
      </c>
      <c r="D298" s="2" t="s">
        <v>30</v>
      </c>
      <c r="E298" s="2" t="s">
        <v>45</v>
      </c>
      <c r="M298" s="31" t="str" cm="1">
        <f t="array" ref="M298">PAGE_NAME(B298)</f>
        <v>user</v>
      </c>
      <c r="N298" s="31" t="str" cm="1">
        <f t="array" ref="N298">SECTION_NAME(B298)</f>
        <v>data-holder-interaction-with-user-after-authentication</v>
      </c>
      <c r="O298" s="5" t="str">
        <f t="shared" ref="O298" si="190">IF(ISNUMBER(SEARCH("MAY", C298)), "MAY", IF(ISNUMBER(SEARCH("SHOULD", C298)), "SHOULD", IF(ISNUMBER(SEARCH("SHALL", C298)), "SHALL", IF(ISNUMBER(SEARCH("SHOULD NOT", C298)), "SHOULD NOT", IF(ISNUMBER(SEARCH("SHALL NOT", C298)), "SHALL NOT", "")))))</f>
        <v>SHALL</v>
      </c>
      <c r="P298" s="5" t="str">
        <f t="shared" ref="P298" si="191">IF(ISNUMBER(SEARCH("server", C298)), "Server", IF(ISNUMBER(SEARCH("Server", C298)), "Server", IF(ISNUMBER(SEARCH("client", C298)), "Client", IF(ISNUMBER(SEARCH("Client", C298)), "Client", IF(ISNUMBER(SEARCH("US Core Responder", C298)), "Server", IF(ISNUMBER(SEARCH("US Core Requestor", C298)), "Client", ""))))))</f>
        <v>Client</v>
      </c>
      <c r="R298" s="5" t="s">
        <v>439</v>
      </c>
    </row>
    <row r="299" spans="1:18" ht="17" x14ac:dyDescent="0.2">
      <c r="M299" s="31" t="str" cm="1">
        <f t="array" ref="M299">PAGE_NAME(B299)</f>
        <v/>
      </c>
      <c r="N299" s="31" t="str" cm="1">
        <f t="array" ref="N299">SECTION_NAME(B299)</f>
        <v/>
      </c>
    </row>
    <row r="300" spans="1:18" ht="17" x14ac:dyDescent="0.2">
      <c r="M300" s="31" t="str" cm="1">
        <f t="array" ref="M300">PAGE_NAME(B300)</f>
        <v/>
      </c>
      <c r="N300" s="31" t="str" cm="1">
        <f t="array" ref="N300">SECTION_NAME(B300)</f>
        <v/>
      </c>
    </row>
    <row r="301" spans="1:18" ht="17" x14ac:dyDescent="0.2">
      <c r="M301" s="31" t="str" cm="1">
        <f t="array" ref="M301">PAGE_NAME(B301)</f>
        <v/>
      </c>
      <c r="N301" s="31" t="str" cm="1">
        <f t="array" ref="N301">SECTION_NAME(B301)</f>
        <v/>
      </c>
    </row>
    <row r="302" spans="1:18" ht="17" x14ac:dyDescent="0.2">
      <c r="M302" s="31" t="str" cm="1">
        <f t="array" ref="M302">PAGE_NAME(B302)</f>
        <v/>
      </c>
      <c r="N302" s="31" t="str" cm="1">
        <f t="array" ref="N302">SECTION_NAME(B302)</f>
        <v/>
      </c>
    </row>
    <row r="303" spans="1:18" ht="17" x14ac:dyDescent="0.2">
      <c r="M303" s="31" t="str" cm="1">
        <f t="array" ref="M303">PAGE_NAME(B303)</f>
        <v/>
      </c>
      <c r="N303" s="31" t="str" cm="1">
        <f t="array" ref="N303">SECTION_NAME(B303)</f>
        <v/>
      </c>
    </row>
    <row r="304" spans="1:18" ht="17" x14ac:dyDescent="0.2">
      <c r="M304" s="31" t="str" cm="1">
        <f t="array" ref="M304">PAGE_NAME(B304)</f>
        <v/>
      </c>
      <c r="N304" s="31" t="str" cm="1">
        <f t="array" ref="N304">SECTION_NAME(B304)</f>
        <v/>
      </c>
    </row>
    <row r="305" spans="2:14" ht="17" x14ac:dyDescent="0.2">
      <c r="M305" s="31" t="str" cm="1">
        <f t="array" ref="M305">PAGE_NAME(B305)</f>
        <v/>
      </c>
      <c r="N305" s="31" t="str" cm="1">
        <f t="array" ref="N305">SECTION_NAME(B305)</f>
        <v/>
      </c>
    </row>
    <row r="306" spans="2:14" ht="17" x14ac:dyDescent="0.2">
      <c r="M306" s="31" t="str" cm="1">
        <f t="array" ref="M306">PAGE_NAME(B306)</f>
        <v/>
      </c>
      <c r="N306" s="31" t="str" cm="1">
        <f t="array" ref="N306">SECTION_NAME(B306)</f>
        <v/>
      </c>
    </row>
    <row r="307" spans="2:14" ht="17" x14ac:dyDescent="0.2">
      <c r="M307" s="31" t="str" cm="1">
        <f t="array" ref="M307">PAGE_NAME(B307)</f>
        <v/>
      </c>
      <c r="N307" s="31" t="str" cm="1">
        <f t="array" ref="N307">SECTION_NAME(B307)</f>
        <v/>
      </c>
    </row>
    <row r="308" spans="2:14" ht="17" x14ac:dyDescent="0.2">
      <c r="M308" s="31" t="str" cm="1">
        <f t="array" ref="M308">PAGE_NAME(B308)</f>
        <v/>
      </c>
      <c r="N308" s="31" t="str" cm="1">
        <f t="array" ref="N308">SECTION_NAME(B308)</f>
        <v/>
      </c>
    </row>
    <row r="309" spans="2:14" ht="17" x14ac:dyDescent="0.2">
      <c r="M309" s="31" t="str" cm="1">
        <f t="array" ref="M309">PAGE_NAME(B309)</f>
        <v/>
      </c>
      <c r="N309" s="31" t="str" cm="1">
        <f t="array" ref="N309">SECTION_NAME(B309)</f>
        <v/>
      </c>
    </row>
    <row r="310" spans="2:14" ht="17" x14ac:dyDescent="0.2">
      <c r="M310" s="31" t="str" cm="1">
        <f t="array" ref="M310">PAGE_NAME(B310)</f>
        <v/>
      </c>
      <c r="N310" s="31" t="str" cm="1">
        <f t="array" ref="N310">SECTION_NAME(B310)</f>
        <v/>
      </c>
    </row>
    <row r="311" spans="2:14" ht="17" x14ac:dyDescent="0.2">
      <c r="M311" s="31" t="str" cm="1">
        <f t="array" ref="M311">PAGE_NAME(B311)</f>
        <v/>
      </c>
      <c r="N311" s="31" t="str" cm="1">
        <f t="array" ref="N311">SECTION_NAME(B311)</f>
        <v/>
      </c>
    </row>
    <row r="312" spans="2:14" ht="17" x14ac:dyDescent="0.2">
      <c r="B312" s="30"/>
      <c r="M312" s="31" t="str" cm="1">
        <f t="array" ref="M312">PAGE_NAME(B312)</f>
        <v/>
      </c>
      <c r="N312" s="31" t="str" cm="1">
        <f t="array" ref="N312">SECTION_NAME(B312)</f>
        <v/>
      </c>
    </row>
    <row r="313" spans="2:14" ht="17" x14ac:dyDescent="0.2">
      <c r="M313" s="31" t="str" cm="1">
        <f t="array" ref="M313">PAGE_NAME(B313)</f>
        <v/>
      </c>
      <c r="N313" s="31" t="str" cm="1">
        <f t="array" ref="N313">SECTION_NAME(B313)</f>
        <v/>
      </c>
    </row>
    <row r="314" spans="2:14" ht="17" x14ac:dyDescent="0.2">
      <c r="M314" s="31" t="str" cm="1">
        <f t="array" ref="M314">PAGE_NAME(B314)</f>
        <v/>
      </c>
      <c r="N314" s="31" t="str" cm="1">
        <f t="array" ref="N314">SECTION_NAME(B314)</f>
        <v/>
      </c>
    </row>
    <row r="315" spans="2:14" ht="17" x14ac:dyDescent="0.2">
      <c r="M315" s="31" t="str" cm="1">
        <f t="array" ref="M315">PAGE_NAME(B315)</f>
        <v/>
      </c>
      <c r="N315" s="31" t="str" cm="1">
        <f t="array" ref="N315">SECTION_NAME(B315)</f>
        <v/>
      </c>
    </row>
    <row r="316" spans="2:14" ht="17" x14ac:dyDescent="0.2">
      <c r="M316" s="31" t="str" cm="1">
        <f t="array" ref="M316">PAGE_NAME(B316)</f>
        <v/>
      </c>
      <c r="N316" s="31" t="str" cm="1">
        <f t="array" ref="N316">SECTION_NAME(B316)</f>
        <v/>
      </c>
    </row>
    <row r="317" spans="2:14" ht="17" x14ac:dyDescent="0.2">
      <c r="M317" s="31" t="str" cm="1">
        <f t="array" ref="M317">PAGE_NAME(B317)</f>
        <v/>
      </c>
      <c r="N317" s="31" t="str" cm="1">
        <f t="array" ref="N317">SECTION_NAME(B317)</f>
        <v/>
      </c>
    </row>
    <row r="318" spans="2:14" ht="17" x14ac:dyDescent="0.2">
      <c r="M318" s="31" t="str" cm="1">
        <f t="array" ref="M318">PAGE_NAME(B318)</f>
        <v/>
      </c>
      <c r="N318" s="31" t="str" cm="1">
        <f t="array" ref="N318">SECTION_NAME(B318)</f>
        <v/>
      </c>
    </row>
    <row r="319" spans="2:14" ht="17" x14ac:dyDescent="0.2">
      <c r="M319" s="31" t="str" cm="1">
        <f t="array" ref="M319">PAGE_NAME(B319)</f>
        <v/>
      </c>
      <c r="N319" s="31" t="str" cm="1">
        <f t="array" ref="N319">SECTION_NAME(B319)</f>
        <v/>
      </c>
    </row>
    <row r="320" spans="2:14" ht="17" x14ac:dyDescent="0.2">
      <c r="M320" s="31" t="str" cm="1">
        <f t="array" ref="M320">PAGE_NAME(B320)</f>
        <v/>
      </c>
      <c r="N320" s="31" t="str" cm="1">
        <f t="array" ref="N320">SECTION_NAME(B320)</f>
        <v/>
      </c>
    </row>
    <row r="321" spans="2:14" ht="17" x14ac:dyDescent="0.2">
      <c r="M321" s="31" t="str" cm="1">
        <f t="array" ref="M321">PAGE_NAME(B321)</f>
        <v/>
      </c>
      <c r="N321" s="31" t="str" cm="1">
        <f t="array" ref="N321">SECTION_NAME(B321)</f>
        <v/>
      </c>
    </row>
    <row r="322" spans="2:14" ht="17" x14ac:dyDescent="0.2">
      <c r="M322" s="31" t="str" cm="1">
        <f t="array" ref="M322">PAGE_NAME(B322)</f>
        <v/>
      </c>
      <c r="N322" s="31" t="str" cm="1">
        <f t="array" ref="N322">SECTION_NAME(B322)</f>
        <v/>
      </c>
    </row>
    <row r="323" spans="2:14" ht="17" x14ac:dyDescent="0.2">
      <c r="M323" s="31" t="str" cm="1">
        <f t="array" ref="M323">PAGE_NAME(B323)</f>
        <v/>
      </c>
      <c r="N323" s="31" t="str" cm="1">
        <f t="array" ref="N323">SECTION_NAME(B323)</f>
        <v/>
      </c>
    </row>
    <row r="324" spans="2:14" ht="17" x14ac:dyDescent="0.2">
      <c r="M324" s="31" t="str" cm="1">
        <f t="array" ref="M324">PAGE_NAME(B324)</f>
        <v/>
      </c>
      <c r="N324" s="31" t="str" cm="1">
        <f t="array" ref="N324">SECTION_NAME(B324)</f>
        <v/>
      </c>
    </row>
    <row r="325" spans="2:14" ht="17" x14ac:dyDescent="0.2">
      <c r="M325" s="31" t="str" cm="1">
        <f t="array" ref="M325">PAGE_NAME(B325)</f>
        <v/>
      </c>
      <c r="N325" s="31" t="str" cm="1">
        <f t="array" ref="N325">SECTION_NAME(B325)</f>
        <v/>
      </c>
    </row>
    <row r="326" spans="2:14" ht="17" x14ac:dyDescent="0.2">
      <c r="M326" s="31" t="str" cm="1">
        <f t="array" ref="M326">PAGE_NAME(B326)</f>
        <v/>
      </c>
      <c r="N326" s="31" t="str" cm="1">
        <f t="array" ref="N326">SECTION_NAME(B326)</f>
        <v/>
      </c>
    </row>
    <row r="327" spans="2:14" ht="17" x14ac:dyDescent="0.2">
      <c r="M327" s="31" t="str" cm="1">
        <f t="array" ref="M327">PAGE_NAME(B327)</f>
        <v/>
      </c>
      <c r="N327" s="31" t="str" cm="1">
        <f t="array" ref="N327">SECTION_NAME(B327)</f>
        <v/>
      </c>
    </row>
    <row r="328" spans="2:14" ht="17" x14ac:dyDescent="0.2">
      <c r="B328" s="30"/>
      <c r="M328" s="31" t="str" cm="1">
        <f t="array" ref="M328">PAGE_NAME(B328)</f>
        <v/>
      </c>
      <c r="N328" s="31" t="str" cm="1">
        <f t="array" ref="N328">SECTION_NAME(B328)</f>
        <v/>
      </c>
    </row>
    <row r="329" spans="2:14" ht="17" x14ac:dyDescent="0.2">
      <c r="B329" s="30"/>
      <c r="M329" s="31" t="str" cm="1">
        <f t="array" ref="M329">PAGE_NAME(B329)</f>
        <v/>
      </c>
      <c r="N329" s="31" t="str" cm="1">
        <f t="array" ref="N329">SECTION_NAME(B329)</f>
        <v/>
      </c>
    </row>
    <row r="330" spans="2:14" ht="17" x14ac:dyDescent="0.2">
      <c r="M330" s="31" t="str" cm="1">
        <f t="array" ref="M330">PAGE_NAME(B330)</f>
        <v/>
      </c>
      <c r="N330" s="31" t="str" cm="1">
        <f t="array" ref="N330">SECTION_NAME(B330)</f>
        <v/>
      </c>
    </row>
    <row r="331" spans="2:14" ht="17" x14ac:dyDescent="0.2">
      <c r="M331" s="31" t="str" cm="1">
        <f t="array" ref="M331">PAGE_NAME(B331)</f>
        <v/>
      </c>
      <c r="N331" s="31" t="str" cm="1">
        <f t="array" ref="N331">SECTION_NAME(B331)</f>
        <v/>
      </c>
    </row>
    <row r="332" spans="2:14" ht="17" x14ac:dyDescent="0.2">
      <c r="M332" s="31" t="str" cm="1">
        <f t="array" ref="M332">PAGE_NAME(B332)</f>
        <v/>
      </c>
      <c r="N332" s="31" t="str" cm="1">
        <f t="array" ref="N332">SECTION_NAME(B332)</f>
        <v/>
      </c>
    </row>
    <row r="333" spans="2:14" ht="17" x14ac:dyDescent="0.2">
      <c r="M333" s="31" t="str" cm="1">
        <f t="array" ref="M333">PAGE_NAME(B333)</f>
        <v/>
      </c>
      <c r="N333" s="31" t="str" cm="1">
        <f t="array" ref="N333">SECTION_NAME(B333)</f>
        <v/>
      </c>
    </row>
    <row r="334" spans="2:14" ht="17" x14ac:dyDescent="0.2">
      <c r="M334" s="31" t="str" cm="1">
        <f t="array" ref="M334">PAGE_NAME(B334)</f>
        <v/>
      </c>
      <c r="N334" s="31" t="str" cm="1">
        <f t="array" ref="N334">SECTION_NAME(B334)</f>
        <v/>
      </c>
    </row>
    <row r="335" spans="2:14" ht="17" x14ac:dyDescent="0.2">
      <c r="M335" s="31" t="str" cm="1">
        <f t="array" ref="M335">PAGE_NAME(B335)</f>
        <v/>
      </c>
      <c r="N335" s="31" t="str" cm="1">
        <f t="array" ref="N335">SECTION_NAME(B335)</f>
        <v/>
      </c>
    </row>
    <row r="336" spans="2:14" ht="17" x14ac:dyDescent="0.2">
      <c r="M336" s="31" t="str" cm="1">
        <f t="array" ref="M336">PAGE_NAME(B336)</f>
        <v/>
      </c>
      <c r="N336" s="31" t="str" cm="1">
        <f t="array" ref="N336">SECTION_NAME(B336)</f>
        <v/>
      </c>
    </row>
    <row r="337" spans="2:14" ht="17" x14ac:dyDescent="0.2">
      <c r="M337" s="31" t="str" cm="1">
        <f t="array" ref="M337">PAGE_NAME(B337)</f>
        <v/>
      </c>
      <c r="N337" s="31" t="str" cm="1">
        <f t="array" ref="N337">SECTION_NAME(B337)</f>
        <v/>
      </c>
    </row>
    <row r="338" spans="2:14" ht="17" x14ac:dyDescent="0.2">
      <c r="M338" s="31" t="str" cm="1">
        <f t="array" ref="M338">PAGE_NAME(B338)</f>
        <v/>
      </c>
      <c r="N338" s="31" t="str" cm="1">
        <f t="array" ref="N338">SECTION_NAME(B338)</f>
        <v/>
      </c>
    </row>
    <row r="339" spans="2:14" ht="17" x14ac:dyDescent="0.2">
      <c r="M339" s="31" t="str" cm="1">
        <f t="array" ref="M339">PAGE_NAME(B339)</f>
        <v/>
      </c>
      <c r="N339" s="31" t="str" cm="1">
        <f t="array" ref="N339">SECTION_NAME(B339)</f>
        <v/>
      </c>
    </row>
    <row r="340" spans="2:14" ht="17" x14ac:dyDescent="0.2">
      <c r="B340" s="30"/>
      <c r="M340" s="31" t="str" cm="1">
        <f t="array" ref="M340">PAGE_NAME(B340)</f>
        <v/>
      </c>
      <c r="N340" s="31" t="str" cm="1">
        <f t="array" ref="N340">SECTION_NAME(B340)</f>
        <v/>
      </c>
    </row>
    <row r="341" spans="2:14" ht="17" x14ac:dyDescent="0.2">
      <c r="B341" s="30"/>
      <c r="M341" s="31" t="str" cm="1">
        <f t="array" ref="M341">PAGE_NAME(B341)</f>
        <v/>
      </c>
      <c r="N341" s="31" t="str" cm="1">
        <f t="array" ref="N341">SECTION_NAME(B341)</f>
        <v/>
      </c>
    </row>
    <row r="342" spans="2:14" ht="17" x14ac:dyDescent="0.2">
      <c r="B342" s="30"/>
      <c r="M342" s="31" t="str" cm="1">
        <f t="array" ref="M342">PAGE_NAME(B342)</f>
        <v/>
      </c>
      <c r="N342" s="31" t="str" cm="1">
        <f t="array" ref="N342">SECTION_NAME(B342)</f>
        <v/>
      </c>
    </row>
    <row r="343" spans="2:14" ht="17" x14ac:dyDescent="0.2">
      <c r="B343" s="30"/>
      <c r="M343" s="31" t="str" cm="1">
        <f t="array" ref="M343">PAGE_NAME(B343)</f>
        <v/>
      </c>
      <c r="N343" s="31" t="str" cm="1">
        <f t="array" ref="N343">SECTION_NAME(B343)</f>
        <v/>
      </c>
    </row>
    <row r="344" spans="2:14" ht="17" x14ac:dyDescent="0.2">
      <c r="B344" s="30"/>
      <c r="M344" s="31" t="str" cm="1">
        <f t="array" ref="M344">PAGE_NAME(B344)</f>
        <v/>
      </c>
      <c r="N344" s="31" t="str" cm="1">
        <f t="array" ref="N344">SECTION_NAME(B344)</f>
        <v/>
      </c>
    </row>
    <row r="345" spans="2:14" ht="17" x14ac:dyDescent="0.2">
      <c r="B345" s="30"/>
      <c r="M345" s="31" t="str" cm="1">
        <f t="array" ref="M345">PAGE_NAME(B345)</f>
        <v/>
      </c>
      <c r="N345" s="31" t="str" cm="1">
        <f t="array" ref="N345">SECTION_NAME(B345)</f>
        <v/>
      </c>
    </row>
    <row r="346" spans="2:14" ht="17" x14ac:dyDescent="0.2">
      <c r="B346" s="30"/>
      <c r="M346" s="31" t="str" cm="1">
        <f t="array" ref="M346">PAGE_NAME(B346)</f>
        <v/>
      </c>
      <c r="N346" s="31" t="str" cm="1">
        <f t="array" ref="N346">SECTION_NAME(B346)</f>
        <v/>
      </c>
    </row>
    <row r="347" spans="2:14" ht="17" x14ac:dyDescent="0.2">
      <c r="B347" s="30"/>
      <c r="M347" s="31" t="str" cm="1">
        <f t="array" ref="M347">PAGE_NAME(B347)</f>
        <v/>
      </c>
      <c r="N347" s="31" t="str" cm="1">
        <f t="array" ref="N347">SECTION_NAME(B347)</f>
        <v/>
      </c>
    </row>
    <row r="348" spans="2:14" ht="17" x14ac:dyDescent="0.2">
      <c r="B348" s="30"/>
      <c r="M348" s="31" t="str" cm="1">
        <f t="array" ref="M348">PAGE_NAME(B348)</f>
        <v/>
      </c>
      <c r="N348" s="31" t="str" cm="1">
        <f t="array" ref="N348">SECTION_NAME(B348)</f>
        <v/>
      </c>
    </row>
    <row r="349" spans="2:14" ht="17" x14ac:dyDescent="0.2">
      <c r="B349" s="30"/>
      <c r="M349" s="31" t="str" cm="1">
        <f t="array" ref="M349">PAGE_NAME(B349)</f>
        <v/>
      </c>
      <c r="N349" s="31" t="str" cm="1">
        <f t="array" ref="N349">SECTION_NAME(B349)</f>
        <v/>
      </c>
    </row>
    <row r="350" spans="2:14" ht="17" x14ac:dyDescent="0.2">
      <c r="B350" s="30"/>
      <c r="M350" s="31" t="str" cm="1">
        <f t="array" ref="M350">PAGE_NAME(B350)</f>
        <v/>
      </c>
      <c r="N350" s="31" t="str" cm="1">
        <f t="array" ref="N350">SECTION_NAME(B350)</f>
        <v/>
      </c>
    </row>
    <row r="351" spans="2:14" ht="17" x14ac:dyDescent="0.2">
      <c r="B351" s="30"/>
      <c r="M351" s="31" t="str" cm="1">
        <f t="array" ref="M351">PAGE_NAME(B351)</f>
        <v/>
      </c>
      <c r="N351" s="31" t="str" cm="1">
        <f t="array" ref="N351">SECTION_NAME(B351)</f>
        <v/>
      </c>
    </row>
    <row r="352" spans="2:14" ht="17" x14ac:dyDescent="0.2">
      <c r="B352" s="30"/>
      <c r="M352" s="31" t="str" cm="1">
        <f t="array" ref="M352">PAGE_NAME(B352)</f>
        <v/>
      </c>
      <c r="N352" s="31" t="str" cm="1">
        <f t="array" ref="N352">SECTION_NAME(B352)</f>
        <v/>
      </c>
    </row>
    <row r="353" spans="2:14" ht="17" x14ac:dyDescent="0.2">
      <c r="B353" s="30"/>
      <c r="M353" s="31" t="str" cm="1">
        <f t="array" ref="M353">PAGE_NAME(B353)</f>
        <v/>
      </c>
      <c r="N353" s="31" t="str" cm="1">
        <f t="array" ref="N353">SECTION_NAME(B353)</f>
        <v/>
      </c>
    </row>
    <row r="354" spans="2:14" ht="17" x14ac:dyDescent="0.2">
      <c r="M354" s="31" t="str" cm="1">
        <f t="array" ref="M354">PAGE_NAME(B354)</f>
        <v/>
      </c>
      <c r="N354" s="31" t="str" cm="1">
        <f t="array" ref="N354">SECTION_NAME(B354)</f>
        <v/>
      </c>
    </row>
    <row r="355" spans="2:14" ht="17" x14ac:dyDescent="0.2">
      <c r="M355" s="31" t="str" cm="1">
        <f t="array" ref="M355">PAGE_NAME(B355)</f>
        <v/>
      </c>
      <c r="N355" s="31" t="str" cm="1">
        <f t="array" ref="N355">SECTION_NAME(B355)</f>
        <v/>
      </c>
    </row>
    <row r="356" spans="2:14" ht="17" x14ac:dyDescent="0.2">
      <c r="M356" s="31" t="str" cm="1">
        <f t="array" ref="M356">PAGE_NAME(B356)</f>
        <v/>
      </c>
      <c r="N356" s="31" t="str" cm="1">
        <f t="array" ref="N356">SECTION_NAME(B356)</f>
        <v/>
      </c>
    </row>
    <row r="357" spans="2:14" ht="17" x14ac:dyDescent="0.2">
      <c r="M357" s="31" t="str" cm="1">
        <f t="array" ref="M357">PAGE_NAME(B357)</f>
        <v/>
      </c>
      <c r="N357" s="31" t="str" cm="1">
        <f t="array" ref="N357">SECTION_NAME(B357)</f>
        <v/>
      </c>
    </row>
    <row r="358" spans="2:14" ht="17" x14ac:dyDescent="0.2">
      <c r="M358" s="31" t="str" cm="1">
        <f t="array" ref="M358">PAGE_NAME(B358)</f>
        <v/>
      </c>
      <c r="N358" s="31" t="str" cm="1">
        <f t="array" ref="N358">SECTION_NAME(B358)</f>
        <v/>
      </c>
    </row>
    <row r="359" spans="2:14" ht="17" x14ac:dyDescent="0.2">
      <c r="M359" s="31" t="str" cm="1">
        <f t="array" ref="M359">PAGE_NAME(B359)</f>
        <v/>
      </c>
      <c r="N359" s="31" t="str" cm="1">
        <f t="array" ref="N359">SECTION_NAME(B359)</f>
        <v/>
      </c>
    </row>
    <row r="360" spans="2:14" ht="17" x14ac:dyDescent="0.2">
      <c r="M360" s="31" t="str" cm="1">
        <f t="array" ref="M360">PAGE_NAME(B360)</f>
        <v/>
      </c>
      <c r="N360" s="31" t="str" cm="1">
        <f t="array" ref="N360">SECTION_NAME(B360)</f>
        <v/>
      </c>
    </row>
    <row r="361" spans="2:14" ht="17" x14ac:dyDescent="0.2">
      <c r="M361" s="31" t="str" cm="1">
        <f t="array" ref="M361">PAGE_NAME(B361)</f>
        <v/>
      </c>
      <c r="N361" s="31" t="str" cm="1">
        <f t="array" ref="N361">SECTION_NAME(B361)</f>
        <v/>
      </c>
    </row>
    <row r="362" spans="2:14" ht="17" x14ac:dyDescent="0.2">
      <c r="M362" s="31" t="str" cm="1">
        <f t="array" ref="M362">PAGE_NAME(B362)</f>
        <v/>
      </c>
      <c r="N362" s="31" t="str" cm="1">
        <f t="array" ref="N362">SECTION_NAME(B362)</f>
        <v/>
      </c>
    </row>
    <row r="363" spans="2:14" ht="17" x14ac:dyDescent="0.2">
      <c r="M363" s="31" t="str" cm="1">
        <f t="array" ref="M363">PAGE_NAME(B363)</f>
        <v/>
      </c>
      <c r="N363" s="31" t="str" cm="1">
        <f t="array" ref="N363">SECTION_NAME(B363)</f>
        <v/>
      </c>
    </row>
    <row r="364" spans="2:14" ht="17" x14ac:dyDescent="0.2">
      <c r="M364" s="31" t="str" cm="1">
        <f t="array" ref="M364">PAGE_NAME(B364)</f>
        <v/>
      </c>
      <c r="N364" s="31" t="str" cm="1">
        <f t="array" ref="N364">SECTION_NAME(B364)</f>
        <v/>
      </c>
    </row>
    <row r="365" spans="2:14" ht="17" x14ac:dyDescent="0.2">
      <c r="M365" s="31" t="str" cm="1">
        <f t="array" ref="M365">PAGE_NAME(B365)</f>
        <v/>
      </c>
      <c r="N365" s="31" t="str" cm="1">
        <f t="array" ref="N365">SECTION_NAME(B365)</f>
        <v/>
      </c>
    </row>
    <row r="366" spans="2:14" ht="17" x14ac:dyDescent="0.2">
      <c r="M366" s="31" t="str" cm="1">
        <f t="array" ref="M366">PAGE_NAME(B366)</f>
        <v/>
      </c>
      <c r="N366" s="31" t="str" cm="1">
        <f t="array" ref="N366">SECTION_NAME(B366)</f>
        <v/>
      </c>
    </row>
    <row r="367" spans="2:14" ht="17" x14ac:dyDescent="0.2">
      <c r="M367" s="31" t="str" cm="1">
        <f t="array" ref="M367">PAGE_NAME(B367)</f>
        <v/>
      </c>
      <c r="N367" s="31" t="str" cm="1">
        <f t="array" ref="N367">SECTION_NAME(B367)</f>
        <v/>
      </c>
    </row>
    <row r="368" spans="2:14" ht="17" x14ac:dyDescent="0.2">
      <c r="M368" s="31" t="str" cm="1">
        <f t="array" ref="M368">PAGE_NAME(B368)</f>
        <v/>
      </c>
      <c r="N368" s="31" t="str" cm="1">
        <f t="array" ref="N368">SECTION_NAME(B368)</f>
        <v/>
      </c>
    </row>
    <row r="369" spans="2:14" ht="17" x14ac:dyDescent="0.2">
      <c r="M369" s="31" t="str" cm="1">
        <f t="array" ref="M369">PAGE_NAME(B369)</f>
        <v/>
      </c>
      <c r="N369" s="31" t="str" cm="1">
        <f t="array" ref="N369">SECTION_NAME(B369)</f>
        <v/>
      </c>
    </row>
    <row r="370" spans="2:14" ht="17" x14ac:dyDescent="0.2">
      <c r="M370" s="31" t="str" cm="1">
        <f t="array" ref="M370">PAGE_NAME(B370)</f>
        <v/>
      </c>
      <c r="N370" s="31" t="str" cm="1">
        <f t="array" ref="N370">SECTION_NAME(B370)</f>
        <v/>
      </c>
    </row>
    <row r="371" spans="2:14" ht="17" x14ac:dyDescent="0.2">
      <c r="M371" s="31" t="str" cm="1">
        <f t="array" ref="M371">PAGE_NAME(B371)</f>
        <v/>
      </c>
      <c r="N371" s="31" t="str" cm="1">
        <f t="array" ref="N371">SECTION_NAME(B371)</f>
        <v/>
      </c>
    </row>
    <row r="372" spans="2:14" ht="17" x14ac:dyDescent="0.2">
      <c r="M372" s="31" t="str" cm="1">
        <f t="array" ref="M372">PAGE_NAME(B372)</f>
        <v/>
      </c>
      <c r="N372" s="31" t="str" cm="1">
        <f t="array" ref="N372">SECTION_NAME(B372)</f>
        <v/>
      </c>
    </row>
    <row r="373" spans="2:14" ht="17" x14ac:dyDescent="0.2">
      <c r="M373" s="31" t="str" cm="1">
        <f t="array" ref="M373">PAGE_NAME(B373)</f>
        <v/>
      </c>
      <c r="N373" s="31" t="str" cm="1">
        <f t="array" ref="N373">SECTION_NAME(B373)</f>
        <v/>
      </c>
    </row>
    <row r="374" spans="2:14" ht="17" x14ac:dyDescent="0.2">
      <c r="B374" s="30"/>
      <c r="M374" s="31" t="str" cm="1">
        <f t="array" ref="M374">PAGE_NAME(B374)</f>
        <v/>
      </c>
      <c r="N374" s="31" t="str" cm="1">
        <f t="array" ref="N374">SECTION_NAME(B374)</f>
        <v/>
      </c>
    </row>
    <row r="375" spans="2:14" ht="17" x14ac:dyDescent="0.2">
      <c r="M375" s="31" t="str" cm="1">
        <f t="array" ref="M375">PAGE_NAME(B375)</f>
        <v/>
      </c>
      <c r="N375" s="31" t="str" cm="1">
        <f t="array" ref="N375">SECTION_NAME(B375)</f>
        <v/>
      </c>
    </row>
    <row r="376" spans="2:14" ht="17" x14ac:dyDescent="0.2">
      <c r="M376" s="31" t="str" cm="1">
        <f t="array" ref="M376">PAGE_NAME(B376)</f>
        <v/>
      </c>
      <c r="N376" s="31" t="str" cm="1">
        <f t="array" ref="N376">SECTION_NAME(B376)</f>
        <v/>
      </c>
    </row>
    <row r="377" spans="2:14" ht="17" x14ac:dyDescent="0.2">
      <c r="M377" s="31" t="str" cm="1">
        <f t="array" ref="M377">PAGE_NAME(B377)</f>
        <v/>
      </c>
      <c r="N377" s="31" t="str" cm="1">
        <f t="array" ref="N377">SECTION_NAME(B377)</f>
        <v/>
      </c>
    </row>
    <row r="378" spans="2:14" ht="17" x14ac:dyDescent="0.2">
      <c r="M378" s="31" t="str" cm="1">
        <f t="array" ref="M378">PAGE_NAME(B378)</f>
        <v/>
      </c>
      <c r="N378" s="31" t="str" cm="1">
        <f t="array" ref="N378">SECTION_NAME(B378)</f>
        <v/>
      </c>
    </row>
    <row r="379" spans="2:14" ht="17" x14ac:dyDescent="0.2">
      <c r="M379" s="31" t="str" cm="1">
        <f t="array" ref="M379">PAGE_NAME(B379)</f>
        <v/>
      </c>
      <c r="N379" s="31" t="str" cm="1">
        <f t="array" ref="N379">SECTION_NAME(B379)</f>
        <v/>
      </c>
    </row>
    <row r="380" spans="2:14" ht="17" x14ac:dyDescent="0.2">
      <c r="M380" s="31" t="str" cm="1">
        <f t="array" ref="M380">PAGE_NAME(B380)</f>
        <v/>
      </c>
      <c r="N380" s="31" t="str" cm="1">
        <f t="array" ref="N380">SECTION_NAME(B380)</f>
        <v/>
      </c>
    </row>
    <row r="381" spans="2:14" ht="17" x14ac:dyDescent="0.2">
      <c r="M381" s="31" t="str" cm="1">
        <f t="array" ref="M381">PAGE_NAME(B381)</f>
        <v/>
      </c>
      <c r="N381" s="31" t="str" cm="1">
        <f t="array" ref="N381">SECTION_NAME(B381)</f>
        <v/>
      </c>
    </row>
    <row r="382" spans="2:14" ht="17" x14ac:dyDescent="0.2">
      <c r="M382" s="31" t="str" cm="1">
        <f t="array" ref="M382">PAGE_NAME(B382)</f>
        <v/>
      </c>
      <c r="N382" s="31" t="str" cm="1">
        <f t="array" ref="N382">SECTION_NAME(B382)</f>
        <v/>
      </c>
    </row>
    <row r="383" spans="2:14" ht="17" x14ac:dyDescent="0.2">
      <c r="M383" s="31" t="str" cm="1">
        <f t="array" ref="M383">PAGE_NAME(B383)</f>
        <v/>
      </c>
      <c r="N383" s="31" t="str" cm="1">
        <f t="array" ref="N383">SECTION_NAME(B383)</f>
        <v/>
      </c>
    </row>
    <row r="384" spans="2:14" ht="17" x14ac:dyDescent="0.2">
      <c r="M384" s="31" t="str" cm="1">
        <f t="array" ref="M384">PAGE_NAME(B384)</f>
        <v/>
      </c>
      <c r="N384" s="31" t="str" cm="1">
        <f t="array" ref="N384">SECTION_NAME(B384)</f>
        <v/>
      </c>
    </row>
    <row r="385" spans="13:14" ht="17" x14ac:dyDescent="0.2">
      <c r="M385" s="31" t="str" cm="1">
        <f t="array" ref="M385">PAGE_NAME(B385)</f>
        <v/>
      </c>
      <c r="N385" s="31" t="str" cm="1">
        <f t="array" ref="N385">SECTION_NAME(B385)</f>
        <v/>
      </c>
    </row>
    <row r="386" spans="13:14" ht="17" x14ac:dyDescent="0.2">
      <c r="M386" s="31" t="str" cm="1">
        <f t="array" ref="M386">PAGE_NAME(B386)</f>
        <v/>
      </c>
      <c r="N386" s="31" t="str" cm="1">
        <f t="array" ref="N386">SECTION_NAME(B386)</f>
        <v/>
      </c>
    </row>
    <row r="387" spans="13:14" ht="17" x14ac:dyDescent="0.2">
      <c r="M387" s="31" t="str" cm="1">
        <f t="array" ref="M387">PAGE_NAME(B387)</f>
        <v/>
      </c>
      <c r="N387" s="31" t="str" cm="1">
        <f t="array" ref="N387">SECTION_NAME(B387)</f>
        <v/>
      </c>
    </row>
    <row r="388" spans="13:14" ht="17" x14ac:dyDescent="0.2">
      <c r="M388" s="31" t="str" cm="1">
        <f t="array" ref="M388">PAGE_NAME(B388)</f>
        <v/>
      </c>
      <c r="N388" s="31" t="str" cm="1">
        <f t="array" ref="N388">SECTION_NAME(B388)</f>
        <v/>
      </c>
    </row>
    <row r="389" spans="13:14" ht="17" x14ac:dyDescent="0.2">
      <c r="M389" s="31" t="str" cm="1">
        <f t="array" ref="M389">PAGE_NAME(B389)</f>
        <v/>
      </c>
      <c r="N389" s="31" t="str" cm="1">
        <f t="array" ref="N389">SECTION_NAME(B389)</f>
        <v/>
      </c>
    </row>
    <row r="390" spans="13:14" ht="17" x14ac:dyDescent="0.2">
      <c r="M390" s="31" t="str" cm="1">
        <f t="array" ref="M390">PAGE_NAME(B390)</f>
        <v/>
      </c>
      <c r="N390" s="31" t="str" cm="1">
        <f t="array" ref="N390">SECTION_NAME(B390)</f>
        <v/>
      </c>
    </row>
    <row r="391" spans="13:14" ht="17" x14ac:dyDescent="0.2">
      <c r="M391" s="31" t="str" cm="1">
        <f t="array" ref="M391">PAGE_NAME(B391)</f>
        <v/>
      </c>
      <c r="N391" s="31" t="str" cm="1">
        <f t="array" ref="N391">SECTION_NAME(B391)</f>
        <v/>
      </c>
    </row>
    <row r="392" spans="13:14" ht="17" x14ac:dyDescent="0.2">
      <c r="M392" s="31" t="str" cm="1">
        <f t="array" ref="M392">PAGE_NAME(B392)</f>
        <v/>
      </c>
      <c r="N392" s="31" t="str" cm="1">
        <f t="array" ref="N392">SECTION_NAME(B392)</f>
        <v/>
      </c>
    </row>
    <row r="393" spans="13:14" ht="17" x14ac:dyDescent="0.2">
      <c r="M393" s="31" t="str" cm="1">
        <f t="array" ref="M393">PAGE_NAME(B393)</f>
        <v/>
      </c>
      <c r="N393" s="31" t="str" cm="1">
        <f t="array" ref="N393">SECTION_NAME(B393)</f>
        <v/>
      </c>
    </row>
    <row r="394" spans="13:14" ht="17" x14ac:dyDescent="0.2">
      <c r="M394" s="31" t="str" cm="1">
        <f t="array" ref="M394">PAGE_NAME(B394)</f>
        <v/>
      </c>
      <c r="N394" s="31" t="str" cm="1">
        <f t="array" ref="N394">SECTION_NAME(B394)</f>
        <v/>
      </c>
    </row>
    <row r="395" spans="13:14" ht="17" x14ac:dyDescent="0.2">
      <c r="M395" s="31" t="str" cm="1">
        <f t="array" ref="M395">PAGE_NAME(B395)</f>
        <v/>
      </c>
      <c r="N395" s="31" t="str" cm="1">
        <f t="array" ref="N395">SECTION_NAME(B395)</f>
        <v/>
      </c>
    </row>
    <row r="396" spans="13:14" ht="17" x14ac:dyDescent="0.2">
      <c r="M396" s="31" t="str" cm="1">
        <f t="array" ref="M396">PAGE_NAME(B396)</f>
        <v/>
      </c>
      <c r="N396" s="31" t="str" cm="1">
        <f t="array" ref="N396">SECTION_NAME(B396)</f>
        <v/>
      </c>
    </row>
    <row r="397" spans="13:14" ht="17" x14ac:dyDescent="0.2">
      <c r="M397" s="31" t="str" cm="1">
        <f t="array" ref="M397">PAGE_NAME(B397)</f>
        <v/>
      </c>
      <c r="N397" s="31" t="str" cm="1">
        <f t="array" ref="N397">SECTION_NAME(B397)</f>
        <v/>
      </c>
    </row>
    <row r="398" spans="13:14" ht="17" x14ac:dyDescent="0.2">
      <c r="M398" s="31" t="str" cm="1">
        <f t="array" ref="M398">PAGE_NAME(B398)</f>
        <v/>
      </c>
      <c r="N398" s="31" t="str" cm="1">
        <f t="array" ref="N398">SECTION_NAME(B398)</f>
        <v/>
      </c>
    </row>
    <row r="399" spans="13:14" ht="17" x14ac:dyDescent="0.2">
      <c r="M399" s="31" t="str" cm="1">
        <f t="array" ref="M399">PAGE_NAME(B399)</f>
        <v/>
      </c>
      <c r="N399" s="31" t="str" cm="1">
        <f t="array" ref="N399">SECTION_NAME(B399)</f>
        <v/>
      </c>
    </row>
    <row r="400" spans="13:14" ht="17" x14ac:dyDescent="0.2">
      <c r="M400" s="31" t="str" cm="1">
        <f t="array" ref="M400">PAGE_NAME(B400)</f>
        <v/>
      </c>
      <c r="N400" s="31" t="str" cm="1">
        <f t="array" ref="N400">SECTION_NAME(B400)</f>
        <v/>
      </c>
    </row>
    <row r="401" spans="13:14" ht="17" x14ac:dyDescent="0.2">
      <c r="M401" s="31" t="str" cm="1">
        <f t="array" ref="M401">PAGE_NAME(B401)</f>
        <v/>
      </c>
      <c r="N401" s="31" t="str" cm="1">
        <f t="array" ref="N401">SECTION_NAME(B401)</f>
        <v/>
      </c>
    </row>
    <row r="402" spans="13:14" ht="17" x14ac:dyDescent="0.2">
      <c r="M402" s="31" t="str" cm="1">
        <f t="array" ref="M402">PAGE_NAME(B402)</f>
        <v/>
      </c>
      <c r="N402" s="31" t="str" cm="1">
        <f t="array" ref="N402">SECTION_NAME(B402)</f>
        <v/>
      </c>
    </row>
    <row r="403" spans="13:14" ht="17" x14ac:dyDescent="0.2">
      <c r="M403" s="31" t="str" cm="1">
        <f t="array" ref="M403">PAGE_NAME(B403)</f>
        <v/>
      </c>
      <c r="N403" s="31" t="str" cm="1">
        <f t="array" ref="N403">SECTION_NAME(B403)</f>
        <v/>
      </c>
    </row>
    <row r="404" spans="13:14" ht="17" x14ac:dyDescent="0.2">
      <c r="M404" s="31" t="str" cm="1">
        <f t="array" ref="M404">PAGE_NAME(B404)</f>
        <v/>
      </c>
      <c r="N404" s="31" t="str" cm="1">
        <f t="array" ref="N404">SECTION_NAME(B404)</f>
        <v/>
      </c>
    </row>
    <row r="405" spans="13:14" ht="17" x14ac:dyDescent="0.2">
      <c r="M405" s="31" t="str" cm="1">
        <f t="array" ref="M405">PAGE_NAME(B405)</f>
        <v/>
      </c>
      <c r="N405" s="31" t="str" cm="1">
        <f t="array" ref="N405">SECTION_NAME(B405)</f>
        <v/>
      </c>
    </row>
    <row r="406" spans="13:14" ht="17" x14ac:dyDescent="0.2">
      <c r="M406" s="31" t="str" cm="1">
        <f t="array" ref="M406">PAGE_NAME(B406)</f>
        <v/>
      </c>
      <c r="N406" s="31" t="str" cm="1">
        <f t="array" ref="N406">SECTION_NAME(B406)</f>
        <v/>
      </c>
    </row>
    <row r="407" spans="13:14" ht="17" x14ac:dyDescent="0.2">
      <c r="M407" s="31" t="str" cm="1">
        <f t="array" ref="M407">PAGE_NAME(B407)</f>
        <v/>
      </c>
      <c r="N407" s="31" t="str" cm="1">
        <f t="array" ref="N407">SECTION_NAME(B407)</f>
        <v/>
      </c>
    </row>
    <row r="408" spans="13:14" ht="17" x14ac:dyDescent="0.2">
      <c r="M408" s="31" t="str" cm="1">
        <f t="array" ref="M408">PAGE_NAME(B408)</f>
        <v/>
      </c>
      <c r="N408" s="31" t="str" cm="1">
        <f t="array" ref="N408">SECTION_NAME(B408)</f>
        <v/>
      </c>
    </row>
    <row r="409" spans="13:14" ht="17" x14ac:dyDescent="0.2">
      <c r="M409" s="31" t="str" cm="1">
        <f t="array" ref="M409">PAGE_NAME(B409)</f>
        <v/>
      </c>
      <c r="N409" s="31" t="str" cm="1">
        <f t="array" ref="N409">SECTION_NAME(B409)</f>
        <v/>
      </c>
    </row>
    <row r="410" spans="13:14" ht="17" x14ac:dyDescent="0.2">
      <c r="M410" s="31" t="str" cm="1">
        <f t="array" ref="M410">PAGE_NAME(B410)</f>
        <v/>
      </c>
      <c r="N410" s="31" t="str" cm="1">
        <f t="array" ref="N410">SECTION_NAME(B410)</f>
        <v/>
      </c>
    </row>
    <row r="411" spans="13:14" ht="17" x14ac:dyDescent="0.2">
      <c r="M411" s="31" t="str" cm="1">
        <f t="array" ref="M411">PAGE_NAME(B411)</f>
        <v/>
      </c>
      <c r="N411" s="31" t="str" cm="1">
        <f t="array" ref="N411">SECTION_NAME(B411)</f>
        <v/>
      </c>
    </row>
    <row r="412" spans="13:14" ht="17" x14ac:dyDescent="0.2">
      <c r="M412" s="31" t="str" cm="1">
        <f t="array" ref="M412">PAGE_NAME(B412)</f>
        <v/>
      </c>
      <c r="N412" s="31" t="str" cm="1">
        <f t="array" ref="N412">SECTION_NAME(B412)</f>
        <v/>
      </c>
    </row>
    <row r="413" spans="13:14" ht="17" x14ac:dyDescent="0.2">
      <c r="M413" s="31" t="str" cm="1">
        <f t="array" ref="M413">PAGE_NAME(B413)</f>
        <v/>
      </c>
      <c r="N413" s="31" t="str" cm="1">
        <f t="array" ref="N413">SECTION_NAME(B413)</f>
        <v/>
      </c>
    </row>
    <row r="414" spans="13:14" ht="17" x14ac:dyDescent="0.2">
      <c r="M414" s="31" t="str" cm="1">
        <f t="array" ref="M414">PAGE_NAME(B414)</f>
        <v/>
      </c>
      <c r="N414" s="31" t="str" cm="1">
        <f t="array" ref="N414">SECTION_NAME(B414)</f>
        <v/>
      </c>
    </row>
    <row r="415" spans="13:14" ht="17" x14ac:dyDescent="0.2">
      <c r="M415" s="31" t="str" cm="1">
        <f t="array" ref="M415">PAGE_NAME(B415)</f>
        <v/>
      </c>
      <c r="N415" s="31" t="str" cm="1">
        <f t="array" ref="N415">SECTION_NAME(B415)</f>
        <v/>
      </c>
    </row>
    <row r="416" spans="13:14" ht="17" x14ac:dyDescent="0.2">
      <c r="M416" s="31" t="str" cm="1">
        <f t="array" ref="M416">PAGE_NAME(B416)</f>
        <v/>
      </c>
      <c r="N416" s="31" t="str" cm="1">
        <f t="array" ref="N416">SECTION_NAME(B416)</f>
        <v/>
      </c>
    </row>
    <row r="417" spans="13:14" ht="17" x14ac:dyDescent="0.2">
      <c r="M417" s="31" t="str" cm="1">
        <f t="array" ref="M417">PAGE_NAME(B417)</f>
        <v/>
      </c>
      <c r="N417" s="31" t="str" cm="1">
        <f t="array" ref="N417">SECTION_NAME(B417)</f>
        <v/>
      </c>
    </row>
    <row r="418" spans="13:14" ht="17" x14ac:dyDescent="0.2">
      <c r="M418" s="31" t="str" cm="1">
        <f t="array" ref="M418">PAGE_NAME(B418)</f>
        <v/>
      </c>
      <c r="N418" s="31" t="str" cm="1">
        <f t="array" ref="N418">SECTION_NAME(B418)</f>
        <v/>
      </c>
    </row>
    <row r="419" spans="13:14" ht="17" x14ac:dyDescent="0.2">
      <c r="M419" s="31" t="str" cm="1">
        <f t="array" ref="M419">PAGE_NAME(B419)</f>
        <v/>
      </c>
      <c r="N419" s="31" t="str" cm="1">
        <f t="array" ref="N419">SECTION_NAME(B419)</f>
        <v/>
      </c>
    </row>
    <row r="420" spans="13:14" ht="17" x14ac:dyDescent="0.2">
      <c r="M420" s="31" t="str" cm="1">
        <f t="array" ref="M420">PAGE_NAME(B420)</f>
        <v/>
      </c>
      <c r="N420" s="31" t="str" cm="1">
        <f t="array" ref="N420">SECTION_NAME(B420)</f>
        <v/>
      </c>
    </row>
    <row r="421" spans="13:14" ht="17" x14ac:dyDescent="0.2">
      <c r="M421" s="31" t="str" cm="1">
        <f t="array" ref="M421">PAGE_NAME(B421)</f>
        <v/>
      </c>
      <c r="N421" s="31" t="str" cm="1">
        <f t="array" ref="N421">SECTION_NAME(B421)</f>
        <v/>
      </c>
    </row>
    <row r="422" spans="13:14" ht="17" x14ac:dyDescent="0.2">
      <c r="M422" s="31" t="str" cm="1">
        <f t="array" ref="M422">PAGE_NAME(B422)</f>
        <v/>
      </c>
      <c r="N422" s="31" t="str" cm="1">
        <f t="array" ref="N422">SECTION_NAME(B422)</f>
        <v/>
      </c>
    </row>
    <row r="423" spans="13:14" ht="17" x14ac:dyDescent="0.2">
      <c r="M423" s="31" t="str" cm="1">
        <f t="array" ref="M423">PAGE_NAME(B423)</f>
        <v/>
      </c>
      <c r="N423" s="31" t="str" cm="1">
        <f t="array" ref="N423">SECTION_NAME(B423)</f>
        <v/>
      </c>
    </row>
    <row r="424" spans="13:14" ht="17" x14ac:dyDescent="0.2">
      <c r="M424" s="31" t="str" cm="1">
        <f t="array" ref="M424">PAGE_NAME(B424)</f>
        <v/>
      </c>
      <c r="N424" s="31" t="str" cm="1">
        <f t="array" ref="N424">SECTION_NAME(B424)</f>
        <v/>
      </c>
    </row>
    <row r="425" spans="13:14" ht="17" x14ac:dyDescent="0.2">
      <c r="M425" s="31" t="str" cm="1">
        <f t="array" ref="M425">PAGE_NAME(B425)</f>
        <v/>
      </c>
      <c r="N425" s="31" t="str" cm="1">
        <f t="array" ref="N425">SECTION_NAME(B425)</f>
        <v/>
      </c>
    </row>
    <row r="426" spans="13:14" ht="17" x14ac:dyDescent="0.2">
      <c r="M426" s="31" t="str" cm="1">
        <f t="array" ref="M426">PAGE_NAME(B426)</f>
        <v/>
      </c>
      <c r="N426" s="31" t="str" cm="1">
        <f t="array" ref="N426">SECTION_NAME(B426)</f>
        <v/>
      </c>
    </row>
    <row r="427" spans="13:14" ht="17" x14ac:dyDescent="0.2">
      <c r="M427" s="31" t="str" cm="1">
        <f t="array" ref="M427">PAGE_NAME(B427)</f>
        <v/>
      </c>
      <c r="N427" s="31" t="str" cm="1">
        <f t="array" ref="N427">SECTION_NAME(B427)</f>
        <v/>
      </c>
    </row>
    <row r="428" spans="13:14" ht="17" x14ac:dyDescent="0.2">
      <c r="M428" s="31" t="str" cm="1">
        <f t="array" ref="M428">PAGE_NAME(B428)</f>
        <v/>
      </c>
      <c r="N428" s="31" t="str" cm="1">
        <f t="array" ref="N428">SECTION_NAME(B428)</f>
        <v/>
      </c>
    </row>
    <row r="429" spans="13:14" ht="17" x14ac:dyDescent="0.2">
      <c r="M429" s="31" t="str" cm="1">
        <f t="array" ref="M429">PAGE_NAME(B429)</f>
        <v/>
      </c>
      <c r="N429" s="31" t="str" cm="1">
        <f t="array" ref="N429">SECTION_NAME(B429)</f>
        <v/>
      </c>
    </row>
    <row r="430" spans="13:14" ht="17" x14ac:dyDescent="0.2">
      <c r="M430" s="31" t="str" cm="1">
        <f t="array" ref="M430">PAGE_NAME(B430)</f>
        <v/>
      </c>
      <c r="N430" s="31" t="str" cm="1">
        <f t="array" ref="N430">SECTION_NAME(B430)</f>
        <v/>
      </c>
    </row>
    <row r="431" spans="13:14" ht="17" x14ac:dyDescent="0.2">
      <c r="M431" s="31" t="str" cm="1">
        <f t="array" ref="M431">PAGE_NAME(B431)</f>
        <v/>
      </c>
      <c r="N431" s="31" t="str" cm="1">
        <f t="array" ref="N431">SECTION_NAME(B431)</f>
        <v/>
      </c>
    </row>
    <row r="432" spans="13:14" ht="17" x14ac:dyDescent="0.2">
      <c r="M432" s="31" t="str" cm="1">
        <f t="array" ref="M432">PAGE_NAME(B432)</f>
        <v/>
      </c>
      <c r="N432" s="31" t="str" cm="1">
        <f t="array" ref="N432">SECTION_NAME(B432)</f>
        <v/>
      </c>
    </row>
    <row r="433" spans="13:14" ht="17" x14ac:dyDescent="0.2">
      <c r="M433" s="31" t="str" cm="1">
        <f t="array" ref="M433">PAGE_NAME(B433)</f>
        <v/>
      </c>
      <c r="N433" s="31" t="str" cm="1">
        <f t="array" ref="N433">SECTION_NAME(B433)</f>
        <v/>
      </c>
    </row>
    <row r="434" spans="13:14" ht="17" x14ac:dyDescent="0.2">
      <c r="M434" s="31" t="str" cm="1">
        <f t="array" ref="M434">PAGE_NAME(B434)</f>
        <v/>
      </c>
      <c r="N434" s="31" t="str" cm="1">
        <f t="array" ref="N434">SECTION_NAME(B434)</f>
        <v/>
      </c>
    </row>
    <row r="435" spans="13:14" ht="17" x14ac:dyDescent="0.2">
      <c r="M435" s="31" t="str" cm="1">
        <f t="array" ref="M435">PAGE_NAME(B435)</f>
        <v/>
      </c>
      <c r="N435" s="31" t="str" cm="1">
        <f t="array" ref="N435">SECTION_NAME(B435)</f>
        <v/>
      </c>
    </row>
    <row r="436" spans="13:14" ht="17" x14ac:dyDescent="0.2">
      <c r="M436" s="31" t="str" cm="1">
        <f t="array" ref="M436">PAGE_NAME(B436)</f>
        <v/>
      </c>
      <c r="N436" s="31" t="str" cm="1">
        <f t="array" ref="N436">SECTION_NAME(B436)</f>
        <v/>
      </c>
    </row>
    <row r="437" spans="13:14" ht="17" x14ac:dyDescent="0.2">
      <c r="M437" s="31" t="str" cm="1">
        <f t="array" ref="M437">PAGE_NAME(B437)</f>
        <v/>
      </c>
      <c r="N437" s="31" t="str" cm="1">
        <f t="array" ref="N437">SECTION_NAME(B437)</f>
        <v/>
      </c>
    </row>
    <row r="438" spans="13:14" ht="17" x14ac:dyDescent="0.2">
      <c r="M438" s="31" t="str" cm="1">
        <f t="array" ref="M438">PAGE_NAME(B438)</f>
        <v/>
      </c>
      <c r="N438" s="31" t="str" cm="1">
        <f t="array" ref="N438">SECTION_NAME(B438)</f>
        <v/>
      </c>
    </row>
    <row r="439" spans="13:14" ht="17" x14ac:dyDescent="0.2">
      <c r="M439" s="31" t="str" cm="1">
        <f t="array" ref="M439">PAGE_NAME(B439)</f>
        <v/>
      </c>
      <c r="N439" s="31" t="str" cm="1">
        <f t="array" ref="N439">SECTION_NAME(B439)</f>
        <v/>
      </c>
    </row>
    <row r="440" spans="13:14" ht="17" x14ac:dyDescent="0.2">
      <c r="M440" s="31" t="str" cm="1">
        <f t="array" ref="M440">PAGE_NAME(B440)</f>
        <v/>
      </c>
      <c r="N440" s="31" t="str" cm="1">
        <f t="array" ref="N440">SECTION_NAME(B440)</f>
        <v/>
      </c>
    </row>
    <row r="441" spans="13:14" ht="17" x14ac:dyDescent="0.2">
      <c r="M441" s="31" t="str" cm="1">
        <f t="array" ref="M441">PAGE_NAME(B441)</f>
        <v/>
      </c>
      <c r="N441" s="31" t="str" cm="1">
        <f t="array" ref="N441">SECTION_NAME(B441)</f>
        <v/>
      </c>
    </row>
    <row r="442" spans="13:14" ht="17" x14ac:dyDescent="0.2">
      <c r="M442" s="31" t="str" cm="1">
        <f t="array" ref="M442">PAGE_NAME(B442)</f>
        <v/>
      </c>
      <c r="N442" s="31" t="str" cm="1">
        <f t="array" ref="N442">SECTION_NAME(B442)</f>
        <v/>
      </c>
    </row>
    <row r="443" spans="13:14" ht="17" x14ac:dyDescent="0.2">
      <c r="M443" s="31" t="str" cm="1">
        <f t="array" ref="M443">PAGE_NAME(B443)</f>
        <v/>
      </c>
      <c r="N443" s="31" t="str" cm="1">
        <f t="array" ref="N443">SECTION_NAME(B443)</f>
        <v/>
      </c>
    </row>
    <row r="444" spans="13:14" ht="17" x14ac:dyDescent="0.2">
      <c r="M444" s="31" t="str" cm="1">
        <f t="array" ref="M444">PAGE_NAME(B444)</f>
        <v/>
      </c>
      <c r="N444" s="31" t="str" cm="1">
        <f t="array" ref="N444">SECTION_NAME(B444)</f>
        <v/>
      </c>
    </row>
    <row r="445" spans="13:14" ht="17" x14ac:dyDescent="0.2">
      <c r="M445" s="31" t="str" cm="1">
        <f t="array" ref="M445">PAGE_NAME(B445)</f>
        <v/>
      </c>
      <c r="N445" s="31" t="str" cm="1">
        <f t="array" ref="N445">SECTION_NAME(B445)</f>
        <v/>
      </c>
    </row>
    <row r="446" spans="13:14" ht="17" x14ac:dyDescent="0.2">
      <c r="M446" s="31" t="str" cm="1">
        <f t="array" ref="M446">PAGE_NAME(B446)</f>
        <v/>
      </c>
      <c r="N446" s="31" t="str" cm="1">
        <f t="array" ref="N446">SECTION_NAME(B446)</f>
        <v/>
      </c>
    </row>
    <row r="447" spans="13:14" ht="17" x14ac:dyDescent="0.2">
      <c r="M447" s="31" t="str" cm="1">
        <f t="array" ref="M447">PAGE_NAME(B447)</f>
        <v/>
      </c>
      <c r="N447" s="31" t="str" cm="1">
        <f t="array" ref="N447">SECTION_NAME(B447)</f>
        <v/>
      </c>
    </row>
    <row r="448" spans="13:14" ht="17" x14ac:dyDescent="0.2">
      <c r="M448" s="31" t="str" cm="1">
        <f t="array" ref="M448">PAGE_NAME(B448)</f>
        <v/>
      </c>
      <c r="N448" s="31" t="str" cm="1">
        <f t="array" ref="N448">SECTION_NAME(B448)</f>
        <v/>
      </c>
    </row>
    <row r="449" spans="13:14" ht="17" x14ac:dyDescent="0.2">
      <c r="M449" s="31" t="str" cm="1">
        <f t="array" ref="M449">PAGE_NAME(B449)</f>
        <v/>
      </c>
      <c r="N449" s="31" t="str" cm="1">
        <f t="array" ref="N449">SECTION_NAME(B449)</f>
        <v/>
      </c>
    </row>
    <row r="450" spans="13:14" ht="17" x14ac:dyDescent="0.2">
      <c r="M450" s="31" t="str" cm="1">
        <f t="array" ref="M450">PAGE_NAME(B450)</f>
        <v/>
      </c>
      <c r="N450" s="31" t="str" cm="1">
        <f t="array" ref="N450">SECTION_NAME(B450)</f>
        <v/>
      </c>
    </row>
    <row r="451" spans="13:14" ht="17" x14ac:dyDescent="0.2">
      <c r="M451" s="31" t="str" cm="1">
        <f t="array" ref="M451">PAGE_NAME(B451)</f>
        <v/>
      </c>
      <c r="N451" s="31" t="str" cm="1">
        <f t="array" ref="N451">SECTION_NAME(B451)</f>
        <v/>
      </c>
    </row>
    <row r="452" spans="13:14" ht="17" x14ac:dyDescent="0.2">
      <c r="M452" s="31" t="str" cm="1">
        <f t="array" ref="M452">PAGE_NAME(B452)</f>
        <v/>
      </c>
      <c r="N452" s="31" t="str" cm="1">
        <f t="array" ref="N452">SECTION_NAME(B452)</f>
        <v/>
      </c>
    </row>
    <row r="453" spans="13:14" ht="17" x14ac:dyDescent="0.2">
      <c r="M453" s="31" t="str" cm="1">
        <f t="array" ref="M453">PAGE_NAME(B453)</f>
        <v/>
      </c>
      <c r="N453" s="31" t="str" cm="1">
        <f t="array" ref="N453">SECTION_NAME(B453)</f>
        <v/>
      </c>
    </row>
    <row r="454" spans="13:14" ht="17" x14ac:dyDescent="0.2">
      <c r="M454" s="31" t="str" cm="1">
        <f t="array" ref="M454">PAGE_NAME(B454)</f>
        <v/>
      </c>
      <c r="N454" s="31" t="str" cm="1">
        <f t="array" ref="N454">SECTION_NAME(B454)</f>
        <v/>
      </c>
    </row>
    <row r="455" spans="13:14" ht="17" x14ac:dyDescent="0.2">
      <c r="M455" s="31" t="str" cm="1">
        <f t="array" ref="M455">PAGE_NAME(B455)</f>
        <v/>
      </c>
      <c r="N455" s="31" t="str" cm="1">
        <f t="array" ref="N455">SECTION_NAME(B455)</f>
        <v/>
      </c>
    </row>
    <row r="456" spans="13:14" ht="17" x14ac:dyDescent="0.2">
      <c r="M456" s="31" t="str" cm="1">
        <f t="array" ref="M456">PAGE_NAME(B456)</f>
        <v/>
      </c>
      <c r="N456" s="31" t="str" cm="1">
        <f t="array" ref="N456">SECTION_NAME(B456)</f>
        <v/>
      </c>
    </row>
    <row r="457" spans="13:14" ht="17" x14ac:dyDescent="0.2">
      <c r="M457" s="31" t="str" cm="1">
        <f t="array" ref="M457">PAGE_NAME(B457)</f>
        <v/>
      </c>
      <c r="N457" s="31" t="str" cm="1">
        <f t="array" ref="N457">SECTION_NAME(B457)</f>
        <v/>
      </c>
    </row>
    <row r="458" spans="13:14" ht="17" x14ac:dyDescent="0.2">
      <c r="M458" s="31" t="str" cm="1">
        <f t="array" ref="M458">PAGE_NAME(B458)</f>
        <v/>
      </c>
      <c r="N458" s="31" t="str" cm="1">
        <f t="array" ref="N458">SECTION_NAME(B458)</f>
        <v/>
      </c>
    </row>
    <row r="459" spans="13:14" ht="17" x14ac:dyDescent="0.2">
      <c r="M459" s="31" t="str" cm="1">
        <f t="array" ref="M459">PAGE_NAME(B459)</f>
        <v/>
      </c>
      <c r="N459" s="31" t="str" cm="1">
        <f t="array" ref="N459">SECTION_NAME(B459)</f>
        <v/>
      </c>
    </row>
    <row r="460" spans="13:14" ht="17" x14ac:dyDescent="0.2">
      <c r="M460" s="31" t="str" cm="1">
        <f t="array" ref="M460">PAGE_NAME(B460)</f>
        <v/>
      </c>
      <c r="N460" s="31" t="str" cm="1">
        <f t="array" ref="N460">SECTION_NAME(B460)</f>
        <v/>
      </c>
    </row>
    <row r="461" spans="13:14" ht="17" x14ac:dyDescent="0.2">
      <c r="M461" s="31" t="str" cm="1">
        <f t="array" ref="M461">PAGE_NAME(B461)</f>
        <v/>
      </c>
      <c r="N461" s="31" t="str" cm="1">
        <f t="array" ref="N461">SECTION_NAME(B461)</f>
        <v/>
      </c>
    </row>
    <row r="462" spans="13:14" ht="17" x14ac:dyDescent="0.2">
      <c r="M462" s="31" t="str" cm="1">
        <f t="array" ref="M462">PAGE_NAME(B462)</f>
        <v/>
      </c>
      <c r="N462" s="31" t="str" cm="1">
        <f t="array" ref="N462">SECTION_NAME(B462)</f>
        <v/>
      </c>
    </row>
  </sheetData>
  <autoFilter ref="A1:V462" xr:uid="{0272D98A-080C-3945-A7E0-CB54FB3A65A9}"/>
  <phoneticPr fontId="19" type="noConversion"/>
  <hyperlinks>
    <hyperlink ref="B5" r:id="rId1" location="signature-algorithm-identifiers" xr:uid="{3CA2B476-9529-DA44-99A0-21F50BD549D0}"/>
    <hyperlink ref="B10" r:id="rId2" location="discovery-of-endpoints" xr:uid="{9D30BE3A-D6D9-9D4F-AB79-3DFC50768E7B}"/>
    <hyperlink ref="B20" r:id="rId3" location="required-udap-metadata" xr:uid="{D6924C4B-387F-C54C-9616-3A80BC919F91}"/>
    <hyperlink ref="B2" r:id="rId4" location="general-requirements-and-serialization" xr:uid="{71686F60-68B8-4EF7-80B6-7AF069A46E4B}"/>
    <hyperlink ref="B3" r:id="rId5" location="general-requirements-and-serialization" xr:uid="{6848FD9D-706F-43C7-9750-01CBAAF7A344}"/>
    <hyperlink ref="B4" r:id="rId6" location="general-requirements-and-serialization" xr:uid="{19960219-0DDF-4B88-AFC0-38AE4835E0B3}"/>
    <hyperlink ref="B8" r:id="rId7" location="jwt-headers" xr:uid="{1B6BA427-3AFE-4286-B34D-7B813D3B737E}"/>
    <hyperlink ref="B9" r:id="rId8" location="jwt-headers" xr:uid="{FA211506-4781-4552-98E9-7BBACCA201CA}"/>
    <hyperlink ref="B18" r:id="rId9" location="discovery-of-endpoints" xr:uid="{1B3A8B8A-FCC3-4B08-8E42-4D68C68CB893}"/>
    <hyperlink ref="B67" r:id="rId10" location="registration" xr:uid="{F2D44982-41C0-4C1D-9A31-B7E38AA23388}"/>
    <hyperlink ref="B68" r:id="rId11" location="registration" xr:uid="{40B5D630-A26E-4023-A1CB-0987D24D8EA3}"/>
    <hyperlink ref="B69" r:id="rId12" location="registration" xr:uid="{8FF73533-07C6-48C3-8491-2C81F6FFE238}"/>
    <hyperlink ref="B70" r:id="rId13" location="registration" xr:uid="{FCEA4CA0-799B-432D-9D1F-CA59D53BB2DD}"/>
    <hyperlink ref="B71" r:id="rId14" location="registration" xr:uid="{35DFB1F8-CA24-43DF-9044-A3AE13BD9310}"/>
    <hyperlink ref="B106" r:id="rId15" location="request-body" xr:uid="{6CCE521C-1378-40F3-8728-4E7467B37D5B}"/>
    <hyperlink ref="B115" r:id="rId16" location="request-body" xr:uid="{57985B48-DD2E-4934-BB30-62DCD5A70A16}"/>
    <hyperlink ref="B117" r:id="rId17" location="inclusion-of-certifications-and-endorsements" xr:uid="{AC89A109-7488-41AF-B589-D7AC33018213}"/>
    <hyperlink ref="B118" r:id="rId18" location="inclusion-of-certifications-and-endorsements" xr:uid="{4FB28A11-7ADE-401D-95A3-5761421500DB}"/>
    <hyperlink ref="B119" r:id="rId19" location="inclusion-of-certifications-and-endorsements" xr:uid="{FFC15935-1564-46A5-B89E-AD8B251D7A34}"/>
    <hyperlink ref="B127" r:id="rId20" location="consumer-facing" xr:uid="{5E5D3D2E-0F4E-4AF1-A049-C38535E68E52}"/>
    <hyperlink ref="B141" r:id="rId21" location="obtaining-an-access-token" display="https://hl7.org/fhir/us/udap-security/STU1/consumer.html#obtaining-an-access-token" xr:uid="{DFF8B302-DB74-4AF5-AF6D-CFAAE985A1E4}"/>
    <hyperlink ref="B152" r:id="rId22" location="constructing-authentication-token" xr:uid="{3D747408-7997-47B4-9D80-332A35731BCE}"/>
    <hyperlink ref="B154" r:id="rId23" location="constructing-authentication-token" xr:uid="{13BEBB7B-1D6C-4E8C-87F9-5B7A7600505D}"/>
    <hyperlink ref="B155" r:id="rId24" location="constructing-authentication-token" xr:uid="{E103D02C-8AC5-41A6-B696-837529750F6C}"/>
    <hyperlink ref="B156" r:id="rId25" location="constructing-authentication-token" xr:uid="{5F7B4F2C-812E-4688-B437-527140E28932}"/>
    <hyperlink ref="B157" r:id="rId26" location="constructing-authentication-token" xr:uid="{84A4DF3F-21AF-4BA8-9A44-1131A2D64F09}"/>
    <hyperlink ref="B158" r:id="rId27" location="constructing-authentication-token" xr:uid="{7A57250E-315D-4346-B8C0-A677C26EF924}"/>
    <hyperlink ref="B159" r:id="rId28" location="constructing-authentication-token" xr:uid="{6EC89A47-A2FB-4829-A09E-101FCFC98A5E}"/>
    <hyperlink ref="B161" r:id="rId29" location="constructing-authentication-token" display="https://hl7.org/fhir/us/udap-security/STU1/consumer.html#constructing-authentication-token" xr:uid="{8E6EFF39-3454-4AFB-9A0F-0ED568FDF3A0}"/>
    <hyperlink ref="B162" r:id="rId30" location="constructing-authentication-token" display="https://hl7.org/fhir/us/udap-security/STU1/consumer.html#constructing-authentication-token" xr:uid="{E6CA328C-C47B-41F1-9ECC-E5FEA942C0CB}"/>
    <hyperlink ref="B163" r:id="rId31" location="submitting-a-token-request" xr:uid="{9A5E1CC7-5B51-405A-AEB4-8D8E3C496887}"/>
    <hyperlink ref="B164" r:id="rId32" location="submitting-a-token-request" xr:uid="{6FEC7F2F-4DB0-45B7-9BC5-8FEEA295D472}"/>
    <hyperlink ref="B165" r:id="rId33" location="submitting-a-token-request" display="https://hl7.org/fhir/us/udap-security/STU1/consumer.html#submitting-a-token-request" xr:uid="{F9048FEF-EC1D-4D85-8F0C-2A26479ED504}"/>
    <hyperlink ref="B166" r:id="rId34" location="submitting-a-token-request" display="https://hl7.org/fhir/us/udap-security/STU1/consumer.html#submitting-a-token-request" xr:uid="{4BA253CC-5BC4-4F58-B9C2-8BA32A6C6CF8}"/>
    <hyperlink ref="B167" r:id="rId35" location="submitting-a-token-request" display="https://hl7.org/fhir/us/udap-security/STU1/consumer.html#submitting-a-token-request" xr:uid="{53E4AC12-B227-4DB5-9A89-61605E851149}"/>
    <hyperlink ref="B173" r:id="rId36" location="submitting-a-token-request" xr:uid="{0C8787A2-3943-4D63-AD72-937C0803DFDC}"/>
    <hyperlink ref="B185" r:id="rId37" location="submitting-a-token-request" display="https://hl7.org/fhir/us/udap-security/STU1/consumer.html#submitting-a-token-request" xr:uid="{B4B7CF5E-9CE7-4F8C-8BD3-09DD47046517}"/>
    <hyperlink ref="B186" r:id="rId38" location="business-to-business" xr:uid="{60B5D6F2-87FE-4BB3-98AA-882193114A99}"/>
    <hyperlink ref="B187" r:id="rId39" location="business-to-business" xr:uid="{27017D37-4A78-4952-8DDC-485708E4D8AE}"/>
    <hyperlink ref="B189" r:id="rId40" location="obtaining-an-authorization-code" xr:uid="{B3986285-7948-4E4B-B272-8DE2148891B5}"/>
    <hyperlink ref="B190" r:id="rId41" location="obtaining-an-authorization-code" xr:uid="{9B6FAFBA-3587-47AF-8918-C80D0D626D7B}"/>
    <hyperlink ref="B191" r:id="rId42" location="obtaining-an-authorization-code" xr:uid="{9B8D2995-BCEF-414F-A559-34838726C565}"/>
    <hyperlink ref="B203" r:id="rId43" location="b2b-authorization-extension-object" xr:uid="{D9DE2968-FD44-4992-B486-DF73AA7C0EFA}"/>
    <hyperlink ref="B204" r:id="rId44" location="b2b-authorization-extension-object" xr:uid="{C62A723A-D97B-4C0A-BAC6-15B4B418A10B}"/>
    <hyperlink ref="B205" r:id="rId45" location="b2b-authorization-extension-object" xr:uid="{ECFBDB03-6E8A-439B-8334-72E5712C231F}"/>
    <hyperlink ref="B207" r:id="rId46" location="b2b-authorization-extension-object" xr:uid="{44EC5E80-4DF5-494A-A770-E75154A0E777}"/>
    <hyperlink ref="B209" r:id="rId47" location="b2b-authorization-extension-object" xr:uid="{B4744C67-6155-4A12-B419-C44610734DBE}"/>
    <hyperlink ref="B211" r:id="rId48" location="b2b-authorization-extension-object" xr:uid="{6C4C39AC-D9C9-44A9-9E2F-0839E734962B}"/>
    <hyperlink ref="B213" r:id="rId49" location="b2b-authorization-extension-object" xr:uid="{F0FFC0A4-A413-40E4-9E56-8D6B89106256}"/>
    <hyperlink ref="B216" r:id="rId50" location="b2b-authorization-extension-object" xr:uid="{C5716154-C0C4-401F-8B86-93A96C41C5C0}"/>
    <hyperlink ref="B218" r:id="rId51" location="b2b-authorization-extension-object" xr:uid="{4A8A8044-6402-4FDF-942B-8118838050B9}"/>
    <hyperlink ref="B219" r:id="rId52" location="b2b-authorization-extension-object" xr:uid="{6A9EA56D-29CE-492D-BDC0-D38A0A6D1C9E}"/>
    <hyperlink ref="B220" r:id="rId53" location="b2b-authorization-extension-object" xr:uid="{9BACE7EE-B019-4F19-8A77-B035CE756365}"/>
    <hyperlink ref="B222" r:id="rId54" location="b2b-authorization-extension-object" xr:uid="{83B50B85-360B-444F-9104-E69708A381FE}"/>
    <hyperlink ref="B223" r:id="rId55" location="submitting-a-token-request" xr:uid="{BDA580D1-BF3F-41E5-84C0-028A0508FAD1}"/>
    <hyperlink ref="B224" r:id="rId56" location="client-credentials-grant" xr:uid="{3BF4DF88-2932-4B1C-8E38-18F1A858C633}"/>
    <hyperlink ref="B225" r:id="rId57" location="client-credentials-grant" xr:uid="{6E181DC4-7084-4F33-86D0-B66DBBDB3954}"/>
    <hyperlink ref="B226" r:id="rId58" location="client-credentials-grant" xr:uid="{C4428AA1-FB20-4FD6-81C6-D3FEA3927641}"/>
    <hyperlink ref="B227" r:id="rId59" location="client-credentials-grant" xr:uid="{61168F3E-1577-4864-A344-2BCAA1253FFF}"/>
    <hyperlink ref="B228" r:id="rId60" location="client-credentials-grant" xr:uid="{D30B2EE7-568A-4AD5-80C6-77502E183F90}"/>
    <hyperlink ref="B229" r:id="rId61" location="client-credentials-grant" xr:uid="{9C1571FE-E241-4FA7-895C-E4E70DABA2C6}"/>
    <hyperlink ref="B230" r:id="rId62" location="client-credentials-grant" display="https://hl7.org/fhir/us/udap-security/STU1/b2b.html#client-credentials-grant" xr:uid="{474C550A-FF4C-41C1-88EB-47A46D862E6A}"/>
    <hyperlink ref="B240" r:id="rId63" location="data-holder-authentication-request-to-idp" xr:uid="{C796716A-F31D-4C29-A4F0-CA3285BE4031}"/>
    <hyperlink ref="B241" r:id="rId64" location="data-holder-authentication-request-to-idp" xr:uid="{2001841B-B573-47EA-8110-2E8FCF09AF71}"/>
    <hyperlink ref="B244" r:id="rId65" location="data-holder-authentication-request-to-idp" xr:uid="{B817B5D8-C216-4106-BCD1-FEDADB33059B}"/>
    <hyperlink ref="B245" r:id="rId66" location="data-holder-authentication-request-to-idp" xr:uid="{DD44D4A7-3E0E-4AFB-AFB4-5DDF9AEEEDB3}"/>
    <hyperlink ref="B246" r:id="rId67" location="data-holder-authentication-request-to-idp" xr:uid="{0DF84AE6-7B5E-4D4A-A67A-45AE5E5B5A97}"/>
    <hyperlink ref="B257" r:id="rId68" location="data-holder-authentication-request-to-idp" xr:uid="{95D413C8-6C71-4895-B87E-71F1B9AB1FA2}"/>
    <hyperlink ref="B258" r:id="rId69" location="data-holder-authentication-request-to-idp" xr:uid="{0097AC44-16C5-4D66-8D10-81D2465120F2}"/>
    <hyperlink ref="B280" r:id="rId70" location="data-holder-authentication-request-to-idp" xr:uid="{F7DBA910-D48D-4A45-97B4-F958C820F3E4}"/>
    <hyperlink ref="B283" r:id="rId71" location="data-holder-authentication-request-to-idp" xr:uid="{E3A6D353-A497-4D1A-8D9C-E50A3A727569}"/>
    <hyperlink ref="B292" r:id="rId72" location="data-holder-authentication-request-to-idp" xr:uid="{F0BD45F8-66D8-4453-B459-0DDE940C52F5}"/>
    <hyperlink ref="B293" r:id="rId73" location="data-holder-interaction-with-user-after-authentication" xr:uid="{2DF4A6AA-9199-4B54-ABDD-F0190453F36C}"/>
    <hyperlink ref="B296" r:id="rId74" location="data-holder-interaction-with-user-after-authentication" xr:uid="{9591EB9A-D374-4156-A3F6-0C433A0DA12F}"/>
    <hyperlink ref="B297" r:id="rId75" location="data-holder-interaction-with-user-after-authentication" xr:uid="{185BAD01-F97F-4575-AAA0-3611932783BA}"/>
    <hyperlink ref="B298" r:id="rId76" location="data-holder-interaction-with-user-after-authentication" xr:uid="{444C834D-9FD9-41A0-B269-6F3B06E15E6F}"/>
    <hyperlink ref="B32" r:id="rId77" location="required-udap-metadata" xr:uid="{8E56C587-9461-A048-A2ED-E4C0AF70C023}"/>
    <hyperlink ref="B72" r:id="rId78" location="registration" xr:uid="{8CD34039-B210-7A4E-BF9D-2A5511EE55A0}"/>
    <hyperlink ref="B114" r:id="rId79" location="request-body" xr:uid="{53F19FE1-D92A-4C4C-ADD7-E22029642212}"/>
    <hyperlink ref="B188" r:id="rId80" location="business-to-business" xr:uid="{96856CB1-97ED-2D46-AEF4-D75218537E24}"/>
    <hyperlink ref="B107" r:id="rId81" location="section-4" xr:uid="{A0DBDB90-08B2-40DC-81F1-EC29DC720BC2}"/>
    <hyperlink ref="B108" r:id="rId82" location="section-4" display="https://www.udap.org/udap-dynamic-client-registration-stu1.html#section-4" xr:uid="{FD30B275-E333-441C-90B0-7BAF5C1F3660}"/>
    <hyperlink ref="B109" r:id="rId83" location="section-4" display="https://www.udap.org/udap-dynamic-client-registration-stu1.html#section-4" xr:uid="{A10969A9-62C2-46C9-8B4C-F748383AC4C2}"/>
    <hyperlink ref="B110" r:id="rId84" location="section-4" display="https://www.udap.org/udap-dynamic-client-registration-stu1.html#section-4" xr:uid="{D395589C-9AE9-47C5-BA0D-30532624BD36}"/>
    <hyperlink ref="B129" r:id="rId85" location="section-4.1.1" xr:uid="{7A80E6EF-17EA-405A-AB8E-2FF75186F4CF}"/>
    <hyperlink ref="B130" r:id="rId86" location="section-4.1.1" xr:uid="{9A1EDE8A-FBB7-4EE5-8D3D-F41EA7ADB61B}"/>
    <hyperlink ref="B132" r:id="rId87" location="obtaining-an-authorization-code" xr:uid="{7326DD06-CD4D-43FC-8E85-F54E4F88F786}"/>
    <hyperlink ref="B133" r:id="rId88" location="obtaining-an-authorization-code" xr:uid="{3A8D549D-215F-484E-A098-D238ED9218D7}"/>
    <hyperlink ref="B135" r:id="rId89" location="section-4.1.2" xr:uid="{E95EC0C8-BA47-41F8-93C8-F18F46078B66}"/>
    <hyperlink ref="B136" r:id="rId90" location="section-4.1.2" xr:uid="{6F3FF3E1-8915-4AC3-A6A5-6B6A7FC67A66}"/>
    <hyperlink ref="B137" r:id="rId91" location="section-4.1.2" xr:uid="{6553CD33-6AED-409B-8BAC-25872B3DC493}"/>
    <hyperlink ref="B138" r:id="rId92" location="section-4.1.2" xr:uid="{5EA13413-66A2-4933-B686-D89CA0B338E1}"/>
    <hyperlink ref="B139" r:id="rId93" location="section-4.1.2" xr:uid="{C50E3A66-67AA-4FD3-894E-C2FF3EED0D2C}"/>
    <hyperlink ref="B140" r:id="rId94" location="section-4.1.2" xr:uid="{FEA0AC26-FDE5-4858-B230-B1F4ECE9D9E7}"/>
    <hyperlink ref="B236" r:id="rId95" location="data-holder-authentication-request-to-idp" xr:uid="{B3FD1585-E2FA-AD4A-9159-9993867D3EA5}"/>
    <hyperlink ref="B153" r:id="rId96" location="constructing-authentication-token" xr:uid="{FF19526A-201A-4536-901D-857C2C1B085D}"/>
    <hyperlink ref="B160" r:id="rId97" location="constructing-authentication-token" xr:uid="{E7EC33A2-442F-4456-AFC9-3838878D728B}"/>
    <hyperlink ref="B176" r:id="rId98" xr:uid="{A737B930-6B4D-439F-877D-EAC063981E73}"/>
    <hyperlink ref="B178" r:id="rId99" xr:uid="{29F3DBBF-B660-4221-9745-ABB84B87FEB5}"/>
    <hyperlink ref="B179" r:id="rId100" xr:uid="{E26D7F10-A708-4CC3-A334-0EB092F0D6DE}"/>
    <hyperlink ref="B180" r:id="rId101" xr:uid="{500B1766-86A7-421C-B679-4D47516AEFAD}"/>
    <hyperlink ref="B181" r:id="rId102" xr:uid="{FBBEB563-73B1-4274-900C-AF02B489E82B}"/>
    <hyperlink ref="B206" r:id="rId103" location="b2b-authorization-extension-object" xr:uid="{53BC9DE5-11B4-4797-90B8-E5055BAECEAC}"/>
    <hyperlink ref="B208" r:id="rId104" location="b2b-authorization-extension-object" xr:uid="{CCEBEF6A-415D-4154-9884-E3EF15E50482}"/>
    <hyperlink ref="B210" r:id="rId105" location="b2b-authorization-extension-object" xr:uid="{C7982CB1-7224-4025-8DF4-F9E1333A46AC}"/>
    <hyperlink ref="B212" r:id="rId106" location="b2b-authorization-extension-object" xr:uid="{0F4AA3C1-329F-40B8-BD76-AF464F728D90}"/>
    <hyperlink ref="B214" r:id="rId107" location="b2b-authorization-extension-object" xr:uid="{8B88290D-6ABB-43E3-B47E-83AA610E9008}"/>
    <hyperlink ref="B215" r:id="rId108" location="b2b-authorization-extension-object" xr:uid="{D83D87C4-CA40-47AE-858F-94E4D7827393}"/>
    <hyperlink ref="B217" r:id="rId109" location="b2b-authorization-extension-object" xr:uid="{734CFB9E-181F-4D5F-BC20-240E4F4C0868}"/>
    <hyperlink ref="B221" r:id="rId110" location="b2b-authorization-extension-object" xr:uid="{9BDFE120-9945-40A7-B4E6-7B517DC23763}"/>
    <hyperlink ref="B294" r:id="rId111" location="data-holder-interaction-with-user-after-authentication" xr:uid="{1C16E770-F247-4D76-A662-B7806B787EF6}"/>
    <hyperlink ref="B295" r:id="rId112" location="data-holder-interaction-with-user-after-authentication" xr:uid="{DB3F25CA-5119-4A17-ABF4-6460E3364D10}"/>
    <hyperlink ref="B281" r:id="rId113" location="TokenRequest" xr:uid="{86F92579-0476-4F19-B600-8C2B79D3D87E}"/>
    <hyperlink ref="B247" r:id="rId114" location="AuthRequest" xr:uid="{D849E2AA-D919-4803-90C2-A73BE2B93E71}"/>
    <hyperlink ref="B248" r:id="rId115" location="AuthRequest" xr:uid="{22F0FF96-4579-42E0-ABD0-54FCB81DCB10}"/>
    <hyperlink ref="B249" r:id="rId116" location="AuthRequest" xr:uid="{00E17D25-CA74-4B25-84E6-1B75DA498D53}"/>
    <hyperlink ref="B250" r:id="rId117" location="AuthRequest" xr:uid="{84B8DB27-CA38-4A9B-B9C2-E579A4FCE607}"/>
    <hyperlink ref="B251" r:id="rId118" location="AuthRequest" xr:uid="{35CE5DA6-F44F-495D-B649-033459FC4EA7}"/>
    <hyperlink ref="B252" r:id="rId119" location="AuthRequest" xr:uid="{9391A314-A55E-4601-B242-BB3186617DFA}"/>
    <hyperlink ref="B253" r:id="rId120" xr:uid="{AAC76FA0-2857-4879-A67A-F58DB9690937}"/>
    <hyperlink ref="B254" r:id="rId121" xr:uid="{A85EEC47-A885-466B-969B-F54420647785}"/>
    <hyperlink ref="B255" r:id="rId122" xr:uid="{87139428-1BAC-43A3-9911-D03F35B23E6E}"/>
    <hyperlink ref="B256" r:id="rId123" xr:uid="{60F0AF2C-308E-4AFA-8871-9395810F371A}"/>
    <hyperlink ref="B242" r:id="rId124" location="data-holder-authentication-request-to-idp" xr:uid="{1E894FC6-358A-43DE-8F1D-D331EBF7D316}"/>
    <hyperlink ref="B232" r:id="rId125" location="refresh-tokens" display="https://hl7.org/fhir/us/udap-security/STU1/b2b.html#refresh-tokens" xr:uid="{508E4BD2-3238-4197-867B-04AEDA4E6A42}"/>
    <hyperlink ref="B239" r:id="rId126" location="data-holder-authentication-request-to-idp" xr:uid="{97172CB6-60B5-4C9E-9D65-37AAAA45E437}"/>
    <hyperlink ref="B237" r:id="rId127" location="client-authorization-request-to-data-holder" xr:uid="{75E1AF1B-8206-4121-8695-10F0CD21DCE1}"/>
    <hyperlink ref="B238" r:id="rId128" location="client-authorization-request-to-data-holder" xr:uid="{828608F2-2841-45AF-98FC-F47B5EA5AE1C}"/>
    <hyperlink ref="B174" r:id="rId129" xr:uid="{DA9E68E2-B9D9-47A3-81CA-B898BE1D4192}"/>
    <hyperlink ref="B175" r:id="rId130" xr:uid="{8BB9577D-0A69-450A-8BCE-C00FC6FA5F1C}"/>
    <hyperlink ref="B177" r:id="rId131" xr:uid="{264C8278-D7CE-4C9E-91ED-725C0656FAB6}"/>
    <hyperlink ref="B182" r:id="rId132" xr:uid="{EEE1E749-FC61-4152-B0D9-0FA1648593C5}"/>
    <hyperlink ref="B183" r:id="rId133" xr:uid="{B3B23A3E-7AE1-4A3F-A03D-6E7F0ECDFB7F}"/>
    <hyperlink ref="B184" r:id="rId134" xr:uid="{87254347-280F-471E-9539-FF936783E25F}"/>
    <hyperlink ref="B193" r:id="rId135" location="constructing-authentication-token" xr:uid="{CBCFFE76-0E63-4194-B3EB-BCEC7A96D011}"/>
    <hyperlink ref="B143" r:id="rId136" location="section-4.1.3" xr:uid="{5F678C5D-2977-49FE-BBF1-1AB6ED8112E2}"/>
    <hyperlink ref="B144" r:id="rId137" location="section-4.1.3" xr:uid="{CE1A5787-60CB-45F1-A6F2-B2C65E11DB2C}"/>
    <hyperlink ref="B168:B172" r:id="rId138" location="submitting-a-token-request" display="https://hl7.org/fhir/us/udap-security/STU1/consumer.html#submitting-a-token-request" xr:uid="{F9D16F8F-96FB-456E-A756-93ACBA0C150D}"/>
    <hyperlink ref="B231" r:id="rId139" location="refresh-tokens" display="https://hl7.org/fhir/us/udap-security/STU1/b2b.html#refresh-tokens" xr:uid="{1CB24881-4457-4208-B4B3-CCF59B59481A}"/>
    <hyperlink ref="B235" r:id="rId140" location="refresh-tokens" display="https://hl7.org/fhir/us/udap-security/STU1/b2b.html#refresh-tokens" xr:uid="{CE5B80CE-008A-47E5-A125-7C3CA54AA56E}"/>
    <hyperlink ref="F163" r:id="rId141" xr:uid="{614C0181-5BF0-EA4D-98EA-241AD8615DC8}"/>
    <hyperlink ref="F144" r:id="rId142" xr:uid="{6314FD2D-A01A-BD48-AC40-3CF93CE534A5}"/>
    <hyperlink ref="F134" r:id="rId143" xr:uid="{FE935C3D-DA3D-A44B-9EB5-E389BA7A7EEA}"/>
    <hyperlink ref="F128" r:id="rId144" xr:uid="{46D99729-0CDB-7E49-A871-9E22205B3D73}"/>
    <hyperlink ref="F173" r:id="rId145" xr:uid="{E666790E-FDEC-054E-98D6-9B2D3597D36B}"/>
    <hyperlink ref="F191" r:id="rId146" xr:uid="{CD50C5F1-0B30-914B-989F-46ABAF86F3EB}"/>
    <hyperlink ref="F189" r:id="rId147" xr:uid="{E9A6B44E-E33B-3946-A7BA-AD241491ADC3}"/>
    <hyperlink ref="B259" r:id="rId148" location="AuthRequestValidation" xr:uid="{F3265C57-AF57-084A-8660-4457D950DFFC}"/>
    <hyperlink ref="B276" r:id="rId149" location="section-10.12" xr:uid="{892475D2-E0F0-7A4D-B8BB-3FFAA78CF735}"/>
    <hyperlink ref="B277" r:id="rId150" location="section-10.12" xr:uid="{80F2A755-94A1-F944-95ED-9FAEAA1E560B}"/>
    <hyperlink ref="B278" r:id="rId151" location="section-10.12" xr:uid="{3EBACF40-7031-8C4C-8E6F-FF860769BD48}"/>
    <hyperlink ref="B279" r:id="rId152" location="section-10.12" xr:uid="{50515448-9273-2B4E-B93A-E8F167AB8997}"/>
    <hyperlink ref="B282" r:id="rId153" xr:uid="{F3677BB8-10B6-9144-AFDE-ACF5337DA094}"/>
    <hyperlink ref="B234" r:id="rId154" location="section-7" xr:uid="{E80DBFA0-196E-6D4B-B2BF-48479A5BF6E9}"/>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4866B9BF-5615-6646-965F-909D4D65F2A5}">
          <x14:formula1>
            <xm:f>'Column Data'!$A$2:$A$7</xm:f>
          </x14:formula1>
          <xm:sqref>D47 D2:D44 D61:D1048576</xm:sqref>
        </x14:dataValidation>
        <x14:dataValidation type="list" allowBlank="1" showInputMessage="1" showErrorMessage="1" xr:uid="{3CFA7B25-010E-E34A-859C-3E49F45E1500}">
          <x14:formula1>
            <xm:f>'Column Data'!$B$2:$B$3</xm:f>
          </x14:formula1>
          <xm:sqref>G1 G5:G175 G185:G1048576</xm:sqref>
        </x14:dataValidation>
        <x14:dataValidation type="list" allowBlank="1" showInputMessage="1" showErrorMessage="1" xr:uid="{F4FB27A2-804E-CB49-B85C-BBEE0C688B4F}">
          <x14:formula1>
            <xm:f>'Column Data'!$D$2:$D$4</xm:f>
          </x14:formula1>
          <xm:sqref>I5:I175 K5:K175 I185:I1048576 K185:K1048576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F15"/>
  <sheetViews>
    <sheetView workbookViewId="0">
      <selection activeCell="D15" sqref="D15"/>
    </sheetView>
  </sheetViews>
  <sheetFormatPr baseColWidth="10" defaultColWidth="11" defaultRowHeight="16" x14ac:dyDescent="0.2"/>
  <cols>
    <col min="1" max="1" width="20.1640625" customWidth="1"/>
    <col min="2" max="2" width="56.5" style="8" customWidth="1"/>
  </cols>
  <sheetData>
    <row r="1" spans="1:6" ht="409" customHeight="1" x14ac:dyDescent="0.2">
      <c r="A1" s="45" t="s">
        <v>447</v>
      </c>
      <c r="B1" s="45"/>
    </row>
    <row r="2" spans="1:6" ht="82" customHeight="1" x14ac:dyDescent="0.2">
      <c r="A2" s="45"/>
      <c r="B2" s="45"/>
    </row>
    <row r="3" spans="1:6" x14ac:dyDescent="0.2">
      <c r="A3" s="7" t="s">
        <v>403</v>
      </c>
      <c r="B3" s="27" t="s">
        <v>404</v>
      </c>
    </row>
    <row r="4" spans="1:6" x14ac:dyDescent="0.2">
      <c r="A4" s="7" t="s">
        <v>405</v>
      </c>
    </row>
    <row r="5" spans="1:6" x14ac:dyDescent="0.2">
      <c r="A5" s="7" t="s">
        <v>406</v>
      </c>
      <c r="B5" s="8" t="s">
        <v>407</v>
      </c>
    </row>
    <row r="6" spans="1:6" x14ac:dyDescent="0.2">
      <c r="A6" s="7" t="s">
        <v>408</v>
      </c>
    </row>
    <row r="7" spans="1:6" x14ac:dyDescent="0.2">
      <c r="A7" s="7" t="s">
        <v>409</v>
      </c>
      <c r="B7" s="8" t="s">
        <v>410</v>
      </c>
    </row>
    <row r="8" spans="1:6" x14ac:dyDescent="0.2">
      <c r="A8" s="7" t="s">
        <v>411</v>
      </c>
    </row>
    <row r="9" spans="1:6" x14ac:dyDescent="0.2">
      <c r="A9" s="7" t="s">
        <v>412</v>
      </c>
    </row>
    <row r="10" spans="1:6" x14ac:dyDescent="0.2">
      <c r="A10" s="7" t="s">
        <v>413</v>
      </c>
    </row>
    <row r="11" spans="1:6" x14ac:dyDescent="0.2">
      <c r="A11" s="7" t="s">
        <v>414</v>
      </c>
      <c r="F11" s="27"/>
    </row>
    <row r="12" spans="1:6" x14ac:dyDescent="0.2">
      <c r="A12" s="7" t="s">
        <v>415</v>
      </c>
    </row>
    <row r="13" spans="1:6" x14ac:dyDescent="0.2">
      <c r="A13" s="7" t="s">
        <v>416</v>
      </c>
      <c r="B13" s="8" t="s">
        <v>417</v>
      </c>
    </row>
    <row r="14" spans="1:6" ht="68" x14ac:dyDescent="0.2">
      <c r="A14" s="7" t="s">
        <v>418</v>
      </c>
      <c r="B14" s="38" t="s">
        <v>455</v>
      </c>
    </row>
    <row r="15" spans="1:6" ht="255" x14ac:dyDescent="0.2">
      <c r="A15" s="7" t="s">
        <v>448</v>
      </c>
      <c r="B15" s="39" t="s">
        <v>449</v>
      </c>
    </row>
  </sheetData>
  <mergeCells count="1">
    <mergeCell ref="A1: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3"/>
  <sheetViews>
    <sheetView workbookViewId="0">
      <selection activeCell="B5" sqref="B5"/>
    </sheetView>
  </sheetViews>
  <sheetFormatPr baseColWidth="10" defaultColWidth="11" defaultRowHeight="16" x14ac:dyDescent="0.2"/>
  <cols>
    <col min="2" max="3" width="14.6640625" customWidth="1"/>
    <col min="4" max="4" width="45.33203125" bestFit="1" customWidth="1"/>
  </cols>
  <sheetData>
    <row r="1" spans="1:5" x14ac:dyDescent="0.2">
      <c r="A1" s="7" t="s">
        <v>406</v>
      </c>
      <c r="B1" s="7" t="s">
        <v>419</v>
      </c>
      <c r="C1" s="7" t="s">
        <v>420</v>
      </c>
      <c r="D1" s="7" t="s">
        <v>421</v>
      </c>
      <c r="E1" s="7" t="s">
        <v>422</v>
      </c>
    </row>
    <row r="2" spans="1:5" x14ac:dyDescent="0.2">
      <c r="A2">
        <v>0.1</v>
      </c>
      <c r="B2" t="s">
        <v>423</v>
      </c>
      <c r="C2" t="s">
        <v>424</v>
      </c>
      <c r="D2" t="s">
        <v>425</v>
      </c>
    </row>
    <row r="3" spans="1:5" x14ac:dyDescent="0.2">
      <c r="A3">
        <v>1.1000000000000001</v>
      </c>
      <c r="B3" t="s">
        <v>426</v>
      </c>
      <c r="C3" s="37" t="s">
        <v>427</v>
      </c>
      <c r="D3" t="s">
        <v>428</v>
      </c>
    </row>
  </sheetData>
  <hyperlinks>
    <hyperlink ref="C3" r:id="rId1" xr:uid="{F76DAAF8-BC7F-4730-BC95-1722B5B55D0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429</v>
      </c>
      <c r="B1" t="s">
        <v>12</v>
      </c>
      <c r="C1" t="s">
        <v>418</v>
      </c>
      <c r="D1" t="s">
        <v>14</v>
      </c>
    </row>
    <row r="2" spans="1:4" x14ac:dyDescent="0.2">
      <c r="A2" t="s">
        <v>30</v>
      </c>
      <c r="B2" t="b">
        <v>1</v>
      </c>
      <c r="C2" t="s">
        <v>430</v>
      </c>
      <c r="D2" t="s">
        <v>431</v>
      </c>
    </row>
    <row r="3" spans="1:4" x14ac:dyDescent="0.2">
      <c r="A3" t="s">
        <v>37</v>
      </c>
      <c r="B3" t="b">
        <v>0</v>
      </c>
      <c r="C3" t="s">
        <v>432</v>
      </c>
      <c r="D3" t="s">
        <v>433</v>
      </c>
    </row>
    <row r="4" spans="1:4" x14ac:dyDescent="0.2">
      <c r="A4" t="s">
        <v>39</v>
      </c>
      <c r="C4" t="s">
        <v>434</v>
      </c>
    </row>
    <row r="5" spans="1:4" x14ac:dyDescent="0.2">
      <c r="A5" t="s">
        <v>349</v>
      </c>
    </row>
    <row r="6" spans="1:4" x14ac:dyDescent="0.2">
      <c r="A6" t="s">
        <v>236</v>
      </c>
    </row>
    <row r="7" spans="1:4" x14ac:dyDescent="0.2">
      <c r="A7" t="s">
        <v>172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2AFD55-C7A6-46E7-BC53-0DB14C1810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B0E317-5E0E-4728-AB3F-40F2C2B957FB}">
  <ds:schemaRefs>
    <ds:schemaRef ds:uri="http://purl.org/dc/dcmitype/"/>
    <ds:schemaRef ds:uri="http://purl.org/dc/elements/1.1/"/>
    <ds:schemaRef ds:uri="b5a44311-ed64-4a72-909f-c9dc6973bde2"/>
    <ds:schemaRef ds:uri="http://schemas.microsoft.com/office/2006/metadata/properties"/>
    <ds:schemaRef ds:uri="http://www.w3.org/XML/1998/namespac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b7009bbd-f938-489b-a530-f05273710fff"/>
    <ds:schemaRef ds:uri="eebd8b74-b9de-41b2-9247-c010c4973c2b"/>
  </ds:schemaRefs>
</ds:datastoreItem>
</file>

<file path=customXml/itemProps3.xml><?xml version="1.0" encoding="utf-8"?>
<ds:datastoreItem xmlns:ds="http://schemas.openxmlformats.org/officeDocument/2006/customXml" ds:itemID="{CA84097F-5807-4DCF-92C6-48C9EE26CF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B. Naden</cp:lastModifiedBy>
  <cp:revision/>
  <dcterms:created xsi:type="dcterms:W3CDTF">2024-07-24T12:37:51Z</dcterms:created>
  <dcterms:modified xsi:type="dcterms:W3CDTF">2025-07-29T04:54:27Z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